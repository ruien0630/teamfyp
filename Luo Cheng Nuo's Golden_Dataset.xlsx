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Year 3 Sem 2\FYP\"/>
    </mc:Choice>
  </mc:AlternateContent>
  <xr:revisionPtr revIDLastSave="0" documentId="8_{823CECD9-263F-43C2-ABDE-F3945533071D}" xr6:coauthVersionLast="47" xr6:coauthVersionMax="47" xr10:uidLastSave="{00000000-0000-0000-0000-000000000000}"/>
  <bookViews>
    <workbookView xWindow="-110" yWindow="-110" windowWidth="25820" windowHeight="16220" activeTab="5" xr2:uid="{00000000-000D-0000-FFFF-FFFF00000000}"/>
  </bookViews>
  <sheets>
    <sheet name="Instructions" sheetId="2" r:id="rId1"/>
    <sheet name="Golden_Dataset" sheetId="1" r:id="rId2"/>
    <sheet name="Experiment 1 (baseline)" sheetId="3" r:id="rId3"/>
    <sheet name="Experiment 2" sheetId="4" r:id="rId4"/>
    <sheet name="Experiment 3" sheetId="5" r:id="rId5"/>
    <sheet name="Experiment 4"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6" l="1"/>
  <c r="G43" i="5"/>
  <c r="G43" i="3"/>
  <c r="G4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tc={5DE4A2DE-48CB-4DE9-B7B7-1E342BE53084}</author>
  </authors>
  <commentList>
    <comment ref="D4" authorId="0" shapeId="0" xr:uid="{5DE4A2DE-48CB-4DE9-B7B7-1E342BE53084}">
      <text>
        <t>[Threaded comment]
Your version of Excel allows you to read this threaded comment; however, any edits to it will get removed if the file is opened in a newer version of Excel. Learn more: https://go.microsoft.com/fwlink/?linkid=870924
Comment:
    You can read and derive this, or send the file to leading models and have the model to provide the answers. But please manually check with the relevant pages to ensure grounding</t>
      </text>
    </comment>
  </commentList>
</comments>
</file>

<file path=xl/sharedStrings.xml><?xml version="1.0" encoding="utf-8"?>
<sst xmlns="http://schemas.openxmlformats.org/spreadsheetml/2006/main" count="633" uniqueCount="206">
  <si>
    <t>Golden Dataset Instructions</t>
  </si>
  <si>
    <t>This sheet contains 30 standardised questions derived from the 3 selected annual reports.</t>
  </si>
  <si>
    <t>All students must use the SAME question set for RAG experiments.</t>
  </si>
  <si>
    <t>For each question:</t>
  </si>
  <si>
    <t>1. Read the PDFs and extract the correct answer exactly as written.</t>
  </si>
  <si>
    <t>2. Fill in the 'Expected Answer' column.</t>
  </si>
  <si>
    <t>3. Indicate the exact source page or section.</t>
  </si>
  <si>
    <t>4. Ensure all answers are consistent across the team.</t>
  </si>
  <si>
    <t>Categories:</t>
  </si>
  <si>
    <t>- Text: Extracted from plain text paragraphs</t>
  </si>
  <si>
    <t>- Table: Extracted from financial or performance tables</t>
  </si>
  <si>
    <t>- Chart: Inferred from charts, graphs, or visual data</t>
  </si>
  <si>
    <t>- Summary: Summaries of multi-paragraph sections</t>
  </si>
  <si>
    <t>This dataset will be the standard reference for ALL individual experiments.</t>
  </si>
  <si>
    <t>Name of Company</t>
  </si>
  <si>
    <t>Annual Report Year</t>
  </si>
  <si>
    <t>Qn</t>
  </si>
  <si>
    <t>Category</t>
  </si>
  <si>
    <t>Question</t>
  </si>
  <si>
    <t>Expected Answer (Fill After Reading PDF)</t>
  </si>
  <si>
    <t>Source Page / Section</t>
  </si>
  <si>
    <t>Text</t>
  </si>
  <si>
    <t>Who is the CEO/Managing Director of the company?</t>
  </si>
  <si>
    <t>What is the company’s primary business activity?</t>
  </si>
  <si>
    <t>In which year was the company incorporated?</t>
  </si>
  <si>
    <t>Describe markets or regions does the company operate in?</t>
  </si>
  <si>
    <t>What are the company’s three main business segments?</t>
  </si>
  <si>
    <t>Who is the Chairman of the Board?</t>
  </si>
  <si>
    <t>What is the company’s mission or vision statement?</t>
  </si>
  <si>
    <t>What were the key highlights mentioned in the Chairman’s statement?</t>
  </si>
  <si>
    <t>Who are the Broad Members and describe their responsibilities</t>
  </si>
  <si>
    <t>What major strategic priority was announced for the upcoming financial year?</t>
  </si>
  <si>
    <t>Table</t>
  </si>
  <si>
    <t>What is the total revenue for FY2023?</t>
  </si>
  <si>
    <t>What is the net profit after tax for FY2023?</t>
  </si>
  <si>
    <t>What is the Earnings Per Share (EPS) for FY2023?</t>
  </si>
  <si>
    <t>What is the Total Assets value for FY2023?</t>
  </si>
  <si>
    <t>What is the Total Equity attributable to shareholders?</t>
  </si>
  <si>
    <t>What is the Net Asset Value (NAV) per share?</t>
  </si>
  <si>
    <t>What is the debt-to-equity ratio listed in the Key Financial Ratios table?</t>
  </si>
  <si>
    <t>Which business segment contributed the highest revenue?</t>
  </si>
  <si>
    <t>What is the percentage increase/decrease in revenue compared to FY2022?</t>
  </si>
  <si>
    <t>What is the total dividend declared for the reporting year?</t>
  </si>
  <si>
    <t>Chart</t>
  </si>
  <si>
    <t>According to the revenue trend chart, which year recorded the highest revenue?</t>
  </si>
  <si>
    <t>Based on the profit margin chart, what is the approximate net profit margin for FY2023?</t>
  </si>
  <si>
    <t>From the segment revenue bar chart, which segment experienced the largest year-on-year growth?</t>
  </si>
  <si>
    <t>According to the geographical sales pie chart, which region contributes the largest share?</t>
  </si>
  <si>
    <t>Based on the cost breakdown chart, which cost category increased the most year-on-year?</t>
  </si>
  <si>
    <t>Summary</t>
  </si>
  <si>
    <t>Summarise the main points from the CEO’s message in three sentences.</t>
  </si>
  <si>
    <t>Summarise the company’s sustainability/ESG commitments for the reporting year.</t>
  </si>
  <si>
    <t>What key risks are highlighted in the Risk Management section?</t>
  </si>
  <si>
    <t>Summarise the business strategy outlined for the next 2–3 years.</t>
  </si>
  <si>
    <t>What operational achievements are described in the Operations Review section?</t>
  </si>
  <si>
    <t xml:space="preserve"> </t>
  </si>
  <si>
    <t>Experiment Setting</t>
  </si>
  <si>
    <t>Retrieved Context (Y/N)</t>
  </si>
  <si>
    <t>Retrieval Score (0–2)</t>
  </si>
  <si>
    <t>LLM Answer</t>
  </si>
  <si>
    <t>LLM Score (0–2)</t>
  </si>
  <si>
    <t>Notes</t>
  </si>
  <si>
    <t>Who are the Broad Members and describe their responsibilities?</t>
  </si>
  <si>
    <t>UOB</t>
  </si>
  <si>
    <t>UOB - Annual Reports 2023.pdf</t>
  </si>
  <si>
    <t>Wee Ee Cheong is the Deputy Chairman and Chief Executive Officer (CEO).</t>
  </si>
  <si>
    <t>The Bank is principally engaged in the business of banking in all its aspects.</t>
  </si>
  <si>
    <t>The company was incorporated in 1935.</t>
  </si>
  <si>
    <t>Page 11, 18, 29</t>
  </si>
  <si>
    <t>Page 148, General Information</t>
  </si>
  <si>
    <t>Page 2, 5, 6</t>
  </si>
  <si>
    <t>The company operates through its head office in Singapore and banking subsidiaries in China, Indonesia, Malaysia, Thailand and Vietnam. It has a global network of around 500 branches and offices in 19 countries and territories in Asia Pacific, Europe and North America. Specifically mentioned regions include Singapore, ASEAN-4 (Indonesia, Malaysia, Thailand, Vietnam), North Asia, and Rest of the World.</t>
  </si>
  <si>
    <t>Page 7, 35</t>
  </si>
  <si>
    <t>The three core business segments are Group Retail, Group Wholesale Banking, and Group Global Markets.</t>
  </si>
  <si>
    <t>Page 7, 215</t>
  </si>
  <si>
    <t>Wong Kan Seng is the Chairman of the Board.</t>
  </si>
  <si>
    <t>Page 11</t>
  </si>
  <si>
    <t>The company's purpose statement is: "Building the future of ASEAN - for the people and businesses within, and connecting with, ASEAN.".</t>
  </si>
  <si>
    <t>Page 5, 10</t>
  </si>
  <si>
    <t>Key highlights include achieving a record high core net profit of $6.1 billion, up 26% year on year, and continuing to scale up the regional business after the acquisition of Citigroup's consumer banking business in four ASEAN markets. It also mentioned a recommended final dividend of 85 cents per ordinary share, bringing the total dividend for 2023 to $1.70 per ordinary share.</t>
  </si>
  <si>
    <t>Page 26</t>
  </si>
  <si>
    <t>Page 11-17, 85</t>
  </si>
  <si>
    <t>Page 28</t>
  </si>
  <si>
    <t>Page 142, 39</t>
  </si>
  <si>
    <t>Page 142, 32, 39</t>
  </si>
  <si>
    <t>Page 144, 39</t>
  </si>
  <si>
    <t>Page 146, 39</t>
  </si>
  <si>
    <t>Page 39</t>
  </si>
  <si>
    <t>Page 218</t>
  </si>
  <si>
    <t>Page 39 (Calculated from Total Income)</t>
  </si>
  <si>
    <t>Page 26, 39</t>
  </si>
  <si>
    <t>Page 39 (Calculated from Core Net Profit and Total Income)</t>
  </si>
  <si>
    <t>Page 34, 218</t>
  </si>
  <si>
    <t>Page 35</t>
  </si>
  <si>
    <t>Page 33</t>
  </si>
  <si>
    <t>Page 42, 47</t>
  </si>
  <si>
    <t>Page 115, 116</t>
  </si>
  <si>
    <t>Page 26, 34</t>
  </si>
  <si>
    <t>Page 29, 30</t>
  </si>
  <si>
    <t>The Board of Directors' members as at 1 March 2024 are: Wong Kan Seng (Chairman, Independent), Wee Ee Cheong (Deputy Chairman and CEO, Executive), Michael Lien Jown Leam (Non-executive and Non-independent), Wee Ee Lim (Non-executive and Non-independent), Steven Phan Swee Kim (Independent), Chia Tai Tee (Independent), Tracey Woon Kim Hong (Independent), Dinh Ba Thanh (Independent), Teo Lay Lim (Independent), and Ong Chong Tee (Independent). 
Their responsibilities include providing entrepreneurial leadership, approving and overseeing the implementation of strategic direction, setting the Tone from the Top, values, and ethical behaviour, promoting a strong system of risk management and internal controls, approving business plans and budgets, overseeing Management's performance, establishing a remuneration framework, performing succession planning, considering sustainability issues (ESG), and promoting communication with stakeholders.</t>
  </si>
  <si>
    <t>A three-year plan was developed to reach the goal of becoming the most preferred bank in Southeast Asia. This involves transforming by: reshaping the business to drive ASEAN connectivity and cross-border trade, leveraging the enlarged customer base from the Citigroup acquisition, developing new initiatives for emerging industries like sustainability and innovation, and doubling down on productivity efforts through digitalisation and streamlining costs.</t>
  </si>
  <si>
    <t>The total operating income (revenue) for the Group in FY2023 was **$13,932 million**.</t>
  </si>
  <si>
    <t>The net profit after tax for the Group in FY2023 was $5,725 million. The core net profit (excluding one-off expenses) was $6,060 million.</t>
  </si>
  <si>
    <t>The Basic EPS for the Group in FY2023 was $3.34.</t>
  </si>
  <si>
    <t>The Total Equity attributable to equity holders of the Bank for the Group in FY2023 was $46,226 million.</t>
  </si>
  <si>
    <t>The Total Assets value for the Group in FY2023 was $523,520 million.</t>
  </si>
  <si>
    <t>The Net Asset Value (NAV) per share for the Group in FY2023 was $26.00.</t>
  </si>
  <si>
    <t>The debt-to-equity ratio is not listed in the provided table on page 39.</t>
  </si>
  <si>
    <t>The Group Wholesale Banking (GWB) segment contributed the highest operating income (revenue) of $7,074 million in 2023.</t>
  </si>
  <si>
    <t>Total operating income for the Group in 2023 was $13,932 million compared to $11,575 million in 2022, resulting in an increase of approximately 20.3% ($13,932 - $11,575 = $2,357; $2,357 / $11,575 \times 100 \approx 20.3%$). The financial summary indicates a YoY Total Income growth: +20%23.</t>
  </si>
  <si>
    <t>The total net dividend per ordinary share for FY2023 was 170 cents (Interim of 85 cents + Final of 85 cents proposed)</t>
  </si>
  <si>
    <t>Based on the five-year financial summary table for Total Income: 2023 ($13,932 million) recorded the highest revenue.</t>
  </si>
  <si>
    <t>The approximate net profit margin (using core net profit/total income for the chart): $6,060 / 13,932 \approx 43.5\%$. Note: Net Profit Margin is not explicitly listed, but Return on Average Total Assets is 1.19%26.</t>
  </si>
  <si>
    <t>Looking at the Total Income figures by segment: Group Retail had the largest percentage growth: $(\$5,503 - \$4,053) / \$4,053 \approx 35.8\%$27. This is consistent with the key metric highlight showing a 36% increase for Group Retail Total Income28.</t>
  </si>
  <si>
    <t>The geographical segmentation of Customer Loans in 2023 shows Singapore contributes the largest share at 49%.</t>
  </si>
  <si>
    <t>Based on the line chart for Operating Expenses (excluding one-off expenses), the Staff costs component increased from $2,991 million in 2022 to **$3,508 million** in 2023, an increase of $517 million. The Other expenses increased from $2,025 million to $2,270 million, an increase of $245 million. Therefore, Staff costs increased the most in absolute value.</t>
  </si>
  <si>
    <t>UOB operates from a position of strength in ASEAN and has developed a three-year plan to become the most preferred bank in Southeast Asia. This strategy involves transforming the business by leveraging the expanded customer base from the Citigroup acquisition, driving ASEAN connectivity, targeting emerging industries like sustainability, and enhancing productivity through digitalisation. The Group achieved a record core net profit of $6.1 billion in 2023, reflecting a resilient financial performance amid global uncertainties.</t>
  </si>
  <si>
    <t>UOB aims for net zero by 2050 and extended $44.5 billion in sustainable financing to corporates. The company achieved a 7-14% reduction below target pathways in emissions intensity metrics for its net zero commitment. UOB actively promoted sustainability by rolling out U-Build for funding support to built environment sectors and maintaining carbon neutrality for its operational footprint</t>
  </si>
  <si>
    <t>Key material risks include Credit risk, Market risk, Liquidity risk, Operational risk, Conduct risk, Strategic and Business risks, Model risk, and Environmental, Social and Governance (ESG) risk.</t>
  </si>
  <si>
    <t>The strategic focus for the next few years will be to leverage built-up product capabilities and systems to propel the Group towards the next chapter of growth. The core areas of focus are Deep cross-border connectivity, Sector specialisation, Omni-channel approach, Wealth management franchise, Treasury management, and Regional trading infrastructure.</t>
  </si>
  <si>
    <t>Operational achievements include completing the acquisition of Citigroup's consumer banking businesses in Malaysia and Indonesia, resulting in a retail customer base of over eight million. The Group is investing $500 million to build an innovation hub in Punggol Digital District. It achieved a 66% surge in net credit card fees and actively grew its transaction banking business, accounting for more than half of Group Wholesale Banking’s income.</t>
  </si>
  <si>
    <t>The company operates in various markets and regions around the world. It has a strong presence in North America, with operations spanning across multiple states including California, Texas, New York, and Florida. In Europe, the company is well-established in countries like Germany, France, and the United Kingdom. Additionally, it has made significant strides in the Asia-Pacific region, particularly in China, Japan, and Australia. The company also has a growing footprint in Latin America, with notable operations in Brazil and Mexico. Furthermore, it has expanded its reach into the Middle East, with operations in the United Arab Emirates and Saudi Arabia. Overall, the company's global presence allows it to cater to diverse markets and customer needs effectively.</t>
  </si>
  <si>
    <t>The company operates in three primary business segments: Industrial, Aerospace, and Commercial. The Industrial segment serves customers in various industries such as automotive, construction, and general manufacturing. The Aerospace segment caters to commercial aircraft, military aircraft, and space applications. Lastly, the Commercial segment focuses on consumer goods, retail, and food and beverage markets. Each segment contributes significantly to the overall revenue of the company.</t>
  </si>
  <si>
    <t>The company's mission statement is to revolutionize the way people live and work through innovative technology solutions, making technology accessible and beneficial to everyone. Its vision is to be the leading provider of technology services, empowering businesses and individuals to achieve their full potential.</t>
  </si>
  <si>
    <t>The Chairman's statement highlighted several key points. Firstly, the company achieved a significant milestone by reaching an agreement with a major supplier for the supply of critical components. This agreement is expected to enhance the company's competitive position and improve its operational efficiency. Secondly, the Chairman emphasized the company's commitment to sustainability and environmental responsibility. The company has set ambitious targets to reduce its carbon footprint and has made substantial progress towards these goals. Lastly, the Chairman discussed the company's strategic initiatives, including the expansion into new markets and the development of innovative products. These initiatives are aimed at driving growth and creating value for shareholders.\n\nThe Chairman also acknowledged the challenges faced during the period, such as supply chain disruptions and increased costs due to inflation. However, he expressed confidence in the company's ability to navigate these challenges and emerge stronger. He concluded by thanking the employees, shareholders, and other stakeholders for their support and dedication.\n\nIn summary, the Chairman's statement focused on the company's achievements in securing a major supplier agreement, its commitment to sustainability, and its strategic initiatives for growth. Despite the challenges encountered, the Chairman expressed optimism about the company's future prospects.</t>
  </si>
  <si>
    <t>The Broad Institute is governed by a group of individuals known as the Broad Members. These members consist of David T. Brockman, PhD, who serves as the Chair; Ruth N. Heller, MD, PhD, who acts as the Vice-Chair; and David M. Altshuler, MD, PhD, who holds the position of Treasurer. The remaining members include Timothy J. Mackey, PhD, Laurie Glimcher, MD, PhD, Michael E. Snyder, PhD, and Stanton L. Prusiner, MD. Each member plays a crucial role in overseeing the strategic direction and management of the institute. They are responsible for ensuring that the Broad adheres to its mission of advancing human health through genomic science. This involves making key decisions regarding research programs, collaborations, and resource allocation. Additionally, they provide guidance on ethical considerations and help maintain strong relationships with external partners, such as Harvard University and MIT.</t>
  </si>
  <si>
    <t>The major strategic priority for the upcoming financial year is to enhance digital capabilities and customer experience. This involves investing in technology and data analytics to improve operational efficiency and personalize customer interactions. The goal is to create a seamless and intuitive digital journey for customers across all touchpoints, ultimately driving growth and customer loyalty.</t>
  </si>
  <si>
    <t>The net profit after tax for FY2023 is $15 million.</t>
  </si>
  <si>
    <t>The context does not provide specific information on the Earnings Per Share (EPS) for FY2023. It only mentions that the company's EPS has been consistently growing over the past few years and is expected to continue this trend in the future. Therefore, I cannot find this information in the provided documents.</t>
  </si>
  <si>
    <t>The context does not provide specific financial data such as Total Assets for FY2023. It only mentions that the company's assets have been growing steadily over the years and that they aim to maintain this trend in the future. Therefore, I cannot find this information in the provided documents.</t>
  </si>
  <si>
    <t>The Total Equity attributable to shareholders is $104,732 million as of December 31, 2022. This figure represents the residual interest in the assets of the company after deducting liabilities and includes common stock, retained earnings, and other reserves. The increase from the previous year's total equity of $98,562 million is primarily due to net income for the period and changes in foreign currency translation adjustments.</t>
  </si>
  <si>
    <t>The Net Asset Value (NAV) per share for the fund is $25.74 as of March 31, 2023. This value represents the total assets of the fund minus its liabilities, divided by the number of shares outstanding. The NAV per share can fluctuate based on changes in the market value of the fund's investments and the number of shares issued or redeemed. It is important to note that the NAV per share does not include any sales charges or fees that may be incurred when purchasing or selling shares of the fund.</t>
  </si>
  <si>
    <t>The debt-to-equity ratio listed in the Key Financial Ratios table is 0.52.</t>
  </si>
  <si>
    <t>The context does not provide specific information on which business segment contributed the highest revenue. It only mentions that the company's revenues increased by 15% compared to the previous year, but it does not specify which segment was responsible for this growth. Therefore, I cannot find this information in the provided documents.</t>
  </si>
  <si>
    <t>The context does not provide specific figures for revenue in FY2022 or FY2023. Therefore, I cannot determine the percentage increase or decrease in revenue compared to FY2022.</t>
  </si>
  <si>
    <t>The total dividend declared for the reporting year is $10 million.</t>
  </si>
  <si>
    <t>The largest share of sales comes from Europe, contributing approximately 45% of total sales.</t>
  </si>
  <si>
    <t>The cost category that increased the most year-on-year is 'Data Center Operations'. The increase was approximately 15%.</t>
  </si>
  <si>
    <t>The CEO emphasised the company's commitment to sustainability and its role as a responsible corporate citizen. They highlighted the successful implementation of several green initiatives, including reducing carbon emissions by 20% and achieving zero waste in operations. The CEO also announced plans for future projects, such as investing in renewable energy sources and expanding the use of electric vehicles within the company fleet.</t>
  </si>
  <si>
    <t>The Risk Management section highlights several key risks, including operational risk, market risk, credit risk, liquidity risk, and compliance risk. Operational risk involves potential losses due to inadequate or failed internal processes, systems, human error, or external events. Market risk refers to the possibility of losses resulting from adverse changes in market prices, such as interest rates, foreign exchange rates, commodity prices, and equity prices. Credit risk is the risk that borrowers will default on their obligations, leading to financial losses for lenders. Liquidity risk arises when an entity does not have sufficient cash flow or assets to meet its short-term obligations. Compliance risk pertains to the potential for regulatory penalties or reputational damage due to non-compliance with laws, regulations, or ethical standards. The document emphasizes the importance of implementing robust risk management strategies to mitigate these risks effectively.</t>
  </si>
  <si>
    <t>The business strategy for the next 2-3 years involves three main pillars: expanding the customer base, enhancing product offerings, and improving operational efficiency. The company aims to increase its market share by targeting new customer segments and geographies, leveraging digital marketing channels and strategic partnerships. To enhance product offerings, the company plans to invest in research and development, focusing on innovation and differentiation. This includes developing new products, improving existing ones, and exploring opportunities for vertical integration. Operational efficiency will be improved through process optimization, automation, and workforce upskilling. The company also intends to strengthen its supply chain resilience and sustainability efforts. These strategies are expected to drive revenue growth, improve profitability, and enhance the company's competitive position in the market.</t>
  </si>
  <si>
    <t>The Operations Review section describes several operational achievements of the company. These include the successful launch and operation of the new satellite constellation, which has significantly improved global coverage and data transmission capabilities. The company also achieved a notable milestone by completing over 100,000 successful satellite-to-ground communication sessions without any major disruptions or failures. Furthermore, the company's ground stations have been upgraded with advanced technology, enhancing their efficiency and reliability. Lastly, the company has implemented a new satellite tracking system that has improved the accuracy and speed of satellite positioning.</t>
  </si>
  <si>
    <t>NIL</t>
  </si>
  <si>
    <t>What are the four core values that underpin “The UOB Way”?</t>
  </si>
  <si>
    <t>What was UOB’s Common Equity Tier 1 (CET1) ratio for FY2023?</t>
  </si>
  <si>
    <t>What was the Non-Performing Loan (NPL) ratio reported for FY2023?</t>
  </si>
  <si>
    <t>What was the total customer deposits recorded at the end of FY2023?</t>
  </si>
  <si>
    <t>Based on the net interest income trend, how did it change from FY2021 to FY2023?</t>
  </si>
  <si>
    <t>From the expense and cost-to-income ratio chart, did operational efficiency improve or decline in FY2023?</t>
  </si>
  <si>
    <t>Summarise how the Citigroup consumer banking acquisition strengthened UOB’s ASEAN strategy</t>
  </si>
  <si>
    <t>Summarise how UOB is transforming its digital capabilities to support long-term growth</t>
  </si>
  <si>
    <t>The four core values that underpin “The UOB Way” are Empathy, Passion, Integrity and Collaboration. These values guide UOB employees in their interactions with customers, colleagues and communities. They reflect UOB’s commitment to putting its customers first, fostering a culture of excellence, upholding ethical standards and working together towards common goals.</t>
  </si>
  <si>
    <t>The Non-Performing Loan (NPL) ratio for FY2023 was not explicitly stated in the provided document. However, it does mention that the bank has been actively managing its NPLs and implementing strategies to reduce them. The document also highlights the bank's commitment to maintaining a strong capital position and adhering to regulatory requirements regarding NPL ratios. Despite the lack of specific data, it can be inferred that the bank is working diligently to keep its NPL ratio within acceptable limits as per industry standards and regulations.</t>
  </si>
  <si>
    <t>The net interest income increased by $45 million or 6% from FY2021 to FY2023. This growth was primarily driven by a rise in average earning assets and an improvement in the net interest margin. The increase in average earning assets contributed approximately $30 million to the overall growth, while the enhancement in net interest margin added around $15 million.</t>
  </si>
  <si>
    <t>The Citigroup consumer banking acquisition bolstered UOB's ASEAN strategy by expanding its footprint and customer base across the region. This strategic move allowed UOB to tap into Citigroup's extensive network of over 1,000 branches and 25 million customers in Asia, thereby enhancing its market presence and competitive position. Furthermore, it facilitated cross-selling opportunities for UOB's existing products and services, such as wealth management and insurance offerings, to Citigroup's clientele. The acquisition also enabled UOB to leverage Citigroup's digital capabilities and technology platforms, accelerating its own digital transformation efforts and improving overall customer experience. In summary, the Citigroup consumer banking acquisition significantly fortified UOB's ASEAN strategy through increased market access, enhanced product offerings, and advanced technological capabilities.</t>
  </si>
  <si>
    <t>UOB is enhancing its digital capabilities through various initiatives such as investing in technology and talent, building a robust digital infrastructure, and fostering an agile culture. The bank is also focusing on data analytics and AI to improve customer experience and operational efficiency. Additionally, UOB is expanding its digital footprint by offering more online and mobile services, and collaborating with fintech partners for innovative solutions. These efforts aim to drive sustainable growth and meet evolving customer needs.</t>
  </si>
  <si>
    <t>Use the given notebook provided by Mr Ho. No changes (Retrieval K = 4)</t>
  </si>
  <si>
    <t>The changes have made were:
            retriever=retriever_source.as_retriever(
                search_type="mmr",
                search_kwargs={
                    "k": 3,
                    "fetch_k": 20,
                    "lambda_mult": 0.7
                }),</t>
  </si>
  <si>
    <t>The company operates in various markets and regions around the world. It has a strong presence in North America, with operations in major cities such as New York, Los Angeles, Chicago, and Toronto. In Europe, the company is well-established in countries like Germany, France, the United Kingdom, and Spain. The company also has a significant footprint in Asia, particularly in China, Japan, South Korea, and India. Additionally, it serves customers in the Middle East and Africa, including countries like Saudi Arabia, United Arab Emirates, Egypt, and South Africa. The company's global reach allows it to cater to diverse customer needs and adapt to different market conditions.</t>
  </si>
  <si>
    <t>The company operates in three primary business segments: Consumer Healthcare, Pharmaceuticals, and Medical Devices. The Consumer Healthcare segment focuses on over-the-counter products such as pain relievers, allergy medications, and gastrointestinal treatments. The Pharmaceuticals segment is dedicated to developing and marketing prescription drugs for various therapeutic areas, including cardiovascular disease, diabetes, and oncology. Lastly, the Medical Devices segment manufactures and distributes medical equipment and supplies, including diagnostic imaging systems, surgical instruments, and patient monitoring devices.</t>
  </si>
  <si>
    <t>The company's mission statement is not explicitly stated in the provided document. However, it does mention that the company aims to provide a seamless and efficient experience for its customers by leveraging technology and data analytics. The company also emphasizes the importance of building strong relationships with its partners and suppliers to ensure high-quality products and services. Additionally, the company is committed to fostering a culture of innovation and continuous improvement, encouraging employees to think creatively and challenge the status quo. Overall, the company's mission can be inferred as delivering exceptional customer experiences through strategic partnerships, technological advancements, and a culture of innovation.</t>
  </si>
  <si>
    <t>The Chairman's statement highlighted several key points. Firstly, the company achieved a significant milestone by reaching an agreement with a major supplier for the supply of critical components. This agreement is expected to enhance the company's competitive position and improve its operational efficiency. Secondly, the Chairman emphasized the company's commitment to sustainability and environmental responsibility. The company has set ambitious targets to reduce its carbon footprint and has made substantial progress towards these goals. Lastly, the Chairman discussed the company's strategic initiatives, including the expansion into new markets and the development of innovative products. These initiatives are aimed at driving growth and creating value for shareholders. The Chairman's statement also touched upon the challenges faced by the company, such as supply chain disruptions and increased competition. However, the Chairman expressed confidence in the company's ability to navigate these challenges and emerge stronger. The statement concluded with a positive outlook for the future, highlighting the company's resilience and adaptability in the face of changing market conditions.</t>
  </si>
  <si>
    <t>The major strategic priority for the upcoming financial year is to enhance digital capabilities and customer experience. This involves investing in technology and data analytics to improve operational efficiency and personalize customer interactions. The goal is to create a seamless and intuitive digital journey for customers across all touchpoints, fostering loyalty and driving growth.</t>
  </si>
  <si>
    <t>The EPS for FY2023 is not explicitly mentioned in the provided document. However, it does state that the company's earnings have been growing steadily over the past few years and that the management expects this trend to continue into FY2023. The document also mentions that the company has a strong balance sheet and a robust cash flow, which could potentially support higher EPS in the future. But without specific figures, we cannot provide an exact EPS for FY2023.</t>
  </si>
  <si>
    <t>The context does not provide a specific figure for the Total Assets value for FY2023. It only mentions that the company's total assets have been increasing steadily over the years and reached $147 billion at the end of FY2022.</t>
  </si>
  <si>
    <t>The Total Equity attributable to shareholders was $94,293 million as of December 31, 2021. This figure represents the residual interest in the assets of the company after deducting liabilities and includes common stock, retained earnings, and other reserves. It does not include non-controlling interests. The change from the previous year is an increase of $8,654 million, which can be attributed to profit for the year, dividends paid, and changes in other reserves.</t>
  </si>
  <si>
    <t>The Net Asset Value (NAV) per share for the fund is $25.67 as of March 31, 2023. This value represents the total assets of the fund minus its liabilities, divided by the number of shares outstanding. The NAV per share can fluctuate based on changes in the market value of the fund's underlying securities and other factors. It is important to note that the NAV per share does not include any sales charges or fees that may be incurred when purchasing or selling shares of the fund.</t>
  </si>
  <si>
    <t>The gross profit margin for Q1 of FY2023 was approximately 45%</t>
  </si>
  <si>
    <t>The cost category that increased the most year-on-year is 'Marketing and Advertising'. The cost for this category was $10,000 in 2021 and rose to $15,000 in 2022, representing a 50% increase.</t>
  </si>
  <si>
    <t>The CEO emphasised the company's commitment to sustainability and its role as a responsible corporate citizen. They highlighted the successful implementation of several green initiatives, including reducing carbon emissions by 20% and achieving zero waste in operations. The CEO also announced a new partnership with a leading environmental organisation to further advance these efforts.</t>
  </si>
  <si>
    <t>The company has made significant strides in its sustainability and ESG (Environmental, Social, and Governance) commitments during the reporting year. In terms of environmental stewardship, the company has reduced its carbon footprint by 20% through a combination of energy-efficient practices and renewable energy sources. It has also achieved a 30% reduction in water usage across all operations. The company's waste management strategies have led to a 15% decrease in landfill contributions.\n\n    Socially, the company has invested heavily in employee development, with a 25% increase in training programs and a 10% rise in diversity and inclusion initiatives. It has also contributed to community development through various philanthropic efforts, including a 15% increase in charitable donations compared to the previous year.\n\n    In terms of governance, the company has maintained high ethical standards, with no major violations reported. It has also improved transparency by publishing an annual sustainability report for the first time, detailing its ESG performance and future goals. The company has committed to achieving net-zero emissions by 2040 and has joined several industry-wide initiatives to support this goal.\n\n    Overall, the company's sustainability and ESG commitments reflect a strong dedication to environmental responsibility, social impact, and robust corporate governance.</t>
  </si>
  <si>
    <t>The key risks highlighted in the Risk Management section include operational risk, market risk, credit risk, and liquidity risk. Operational risk involves potential losses due to inadequate or failed internal processes, systems, human error, or external events. Market risk refers to the possibility of losses arising from changes in market conditions such as interest rates, foreign exchange rates, commodity prices, equity prices, and property prices. Credit risk is the risk that counterparties will fail to meet their obligations, leading to financial loss. Liquidity risk is the risk that adequate financial resources will not be available to meet obligations as they come due. The document emphasizes the importance of managing these risks effectively to ensure the organization's stability and success.</t>
  </si>
  <si>
    <t>The business strategy for the next 2-3 years is focused on expanding the company's market presence and enhancing its product offerings. This will be achieved through a combination of organic growth and strategic acquisitions. The company aims to increase its market share by targeting new customer segments and geographies, while also improving operational efficiency and reducing costs. Additionally, the company plans to invest in research and development to drive innovation and stay ahead of industry trends. The ultimate goal is to become a leading player in the industry by delivering superior value to customers and shareholders alike.</t>
  </si>
  <si>
    <t>The Operations Review section describes several operational achievements. Firstly, it highlights the successful completion of Project Alpha, which involved the integration of new technology into existing systems. This project resulted in a significant increase in efficiency and productivity. Secondly, the team managed to reduce operational costs by 15% through process optimization and waste reduction initiatives. Lastly, the team achieved a 99.9% uptime for critical systems, demonstrating exceptional reliability and stability. These accomplishments underscore the team's commitment to continuous improvement and operational excellence.</t>
  </si>
  <si>
    <t>The net interest income increased by $54 million, or 6%, from FY2021 to FY2023. This growth was primarily driven by a higher volume of earning assets and improved net interest margin. The higher volume of earning assets contributed an additional $38 million, while the improved net interest margin added $16 million. Overall, these factors led to a significant increase in net interest income over the two-year period.</t>
  </si>
  <si>
    <t>The four core values that underpin “The UOB Way” are Empathy, Passion, Integrity and Teamwork. These values guide the bank’s actions and decisions, ensuring they align with its mission and vision. Empathy is about understanding and sharing the feelings of others, which helps UOB employees connect with customers and colleagues on a deeper level. This value fosters an environment where everyone feels valued and heard. Passion drives UOB employees to strive for excellence and continuously improve their skills and knowledge. It encourages them to go above and beyond in serving customers and contributing to the organization's success. Integrity involves being honest, transparent, and ethical in all dealings. It ensures that UOB maintains trust with its stakeholders and upholds its commitment to responsible banking practices.\n\nTeamwork emphasizes collaboration and collective responsibility among UOB employees. By working together, they can achieve more than what any individual could accomplish alone, leading to better outcomes for both the bank and its customers.\n\nThese four core values form the foundation of “The UOB Way,” shaping the culture, behavior, and decision-making processes within the organization. They help UOB create a positive work environment, deliver exceptional customer experiences, and drive sustainable growth.</t>
  </si>
  <si>
    <t>The Citigroup consumer banking acquisition significantly bolstered UOB's ASEAN strategy by expanding its footprint across key markets such as Thailand and Indonesia. This strategic move enabled UOB to tap into Citigroup's extensive customer base and robust network, thereby enhancing its market presence and competitive position within the region. Furthermore, the acquisition facilitated cross-selling opportunities for UOB's existing products and services, fostering growth and diversification of revenue streams. By integrating Citigroup's digital capabilities and technological advancements, UOB was able to elevate its digital banking offerings, ensuring a seamless and enhanced customer experience. Overall, the acquisition fortified UOB's position as a leading player in the ASEAN banking landscape, enabling it to better serve its customers and capitalize on emerging opportunities in the region.</t>
  </si>
  <si>
    <t>UOB is enhancing its digital capabilities through various initiatives such as investing in technology and talent, fostering a culture of innovation, and collaborating with external partners. The bank aims to become a leader in digital banking by leveraging advanced technologies like AI, blockchain, and cloud computing. It is also focusing on improving customer experience through personalised services and seamless digital journeys. Additionally, UOB is strengthening its cybersecurity measures to protect sensitive data and maintain trust with customers. These efforts are expected to drive long-term growth for the bank.</t>
  </si>
  <si>
    <t>The changes have made were:
            retriever=retriever_source.as_retriever(
                search_type="mmr",
                search_kwargs={
                    "k": 3,
                    "fetch_k": 20,
                    "lambda_mult": 0.7
                    "filter": {"company": "UOB"}
                }),</t>
  </si>
  <si>
    <t>The Broad Institute is governed by a group of individuals known as the Broad Members. These members consist of David T. Brockman, PhD, who serves as the President and CEO; Erez Lieberman Aiden, PhD, who acts as the Chief Scientific Officer; and Stanton W. McMurtry, MD, PhD, who holds the position of Executive Vice President for Research. Their roles involve overseeing various aspects of the institute's operations, including strategic planning, scientific research, and administrative management. David T. Brockman, PhD, as the President and CEO, is responsible for providing overall leadership and direction to the Broad Institute. He works closely with the Board of Directors to establish the institute's vision and mission, ensuring that it aligns with the broader goals of the scientific community. Dr. Brockman also plays a crucial role in fostering collaborations between the Broad Institute and other institutions, both within the United States and internationally. Erez Lieberman Aiden, PhD, as the Chief Scientific Officer, focuses on driving the institute's scientific agenda. His responsibilities include setting research priorities, managing scientific programs, and promoting interdisciplinary collaboration among scientists at the Broad Institute. Dr. Aiden also leads efforts to translate scientific discoveries into practical applications, bridging the gap between basic research and real-world impact. Stanton W. McMurtry, MD, PhD, as the Executive Vice President for Research, oversees the day-to-day operations of the institute's research activities. This includes managing research projects, allocating resources, and ensuring compliance with ethical guidelines and regulatory requirements. Dr. McMurtry also plays a key role in recruiting and retaining top scientific talent, fostering an environment that encourages innovation and excellence in research.\n\n    In summary, the Broad Members - David T. Brockman, PhD, Erez Lieberman Aiden, PhD, and Stanton W. McMurtry, MD, PhD - each hold distinct yet complementary roles in governing the Broad Institute. Their collective efforts ensure the institute's continued success in advancing scientific knowledge and its translation into tangible benefits</t>
  </si>
  <si>
    <t>The company has made significant strides in its sustainability and ESG (Environmental, Social, and Governance) commitments during the reporting year. In terms of environmental stewardship, the company has reduced its carbon footprint by 20% through energy-efficient practices and renewable energy sources. It has also achieved a 30% reduction in water usage across all operations. The company has set ambitious targets to reach net-zero emissions by 2040 and has invested in various green initiatives to support this goal. In the social sphere, the company has prioritised employee wellbeing and diversity, equity, and inclusion (DEI). It has implemented comprehensive health and safety measures, resulting in a 15% decrease in workplace injuries. The company has also launched several DEI programs, leading to a 20% increase in female representation in leadership roles. Furthermore, it has engaged in extensive community outreach, contributing to local education and infrastructure projects. Regarding governance, the company has reinforced its commitment to transparency and ethical business practices. It has enhanced its board diversity, with women now comprising 40% of board members. The company has also strengthened its internal controls and risk management systems, ensuring robust compliance with international standards. Overall, the company's sustainability and ESG commitments reflect its dedication to creating long-term value for all stakeholders while minimising negative impacts on the environment and society.</t>
  </si>
  <si>
    <t>The company's primary business activity is not explicitly mentioned in the provided document. The text only discusses a specific project involving the construction of a new building for a university. Therefore, I cannot definitively determine the company's overall primary business activity based on this context.</t>
  </si>
  <si>
    <t>The company operates in various markets and regions around the world. It has a strong presence in North America, with operations in the United States and Canada. In Europe, it serves customers in countries such as Germany, France, the United Kingdom, and Spain. The company also has a significant footprint in Asia-Pacific, including China, Japan, Australia, and South Korea. Additionally, it caters to customers in Latin America, specifically in Brazil and Mexico. The company's global reach allows it to leverage local expertise and resources to better serve its diverse customer base.</t>
  </si>
  <si>
    <t>Our mission at UOB is to revolutionize the way people live and work by providing cutting-edge technology solutions that are accessible, affordable, and user-friendly. We strive to create a world where technology serves as a catalyst for progress, enabling individuals and businesses to achieve their full potential. Our vision is to be the leading provider of technology solutions globally, setting industry standards and driving innovation through collaboration and continuous improvement.</t>
  </si>
  <si>
    <t>The Chairman's statement highlighted several key points. Firstly, the company has achieved significant progress in its strategic initiatives, particularly in the areas of digital transformation and sustainability. The company has successfully implemented new technologies to improve operational efficiency and reduce environmental impact. Secondly, the Chairman emphasized the importance of maintaining a strong financial position, with a focus on cost management and cash flow optimization. Lastly, the Chairman expressed commitment to fostering a positive work culture that encourages innovation and employee development.\n\nThe Chairman also acknowledged the challenges posed by the ongoing global health crisis and the company's resilience in navigating these difficulties. He praised the employees for their dedication and adaptability during this time. Furthermore, the Chairman outlined the company's plans to continue investing in research and development to drive future growth and stay competitive in the market.\n\nIn summary, the Chairman's statement underscored the company's achievements in strategic initiatives, financial stability, work culture, and future-oriented strategies, while also recognizing the impact of the global health crisis and expressing gratitude towards the employees.</t>
  </si>
  <si>
    <t>The Broad Institute is governed by a group of individuals known as the Broad Members. These members consist of David T. J. Micklos, PhD, who serves as the Chairman; Ruth N. Huber, MD, PhD, who acts as the Vice-Chair; and Robert D. Tepper, PhD, who holds the position of Treasurer. The remaining members include David Altshuler, MD, MPH, Michael Egholm, PhD, Stanton L. McMurray, PhD, Eric S. Lander, PhD, and Harvey V. Rubin, PhD. Each member plays a crucial role in overseeing the strategic direction and management of the institute. They are responsible for ensuring that the Broad adheres to its mission of advancing human health through genomic science. This involves making key decisions regarding research programs, collaborations, and resource allocation. Additionally, they provide guidance on ethical considerations and help maintain strong relationships with external partners, such as academic institutions, biotechnology companies, and government agencies. The Broad Members also play an essential role in fundraising efforts, working together to secure financial support from various sources, including philanthropic organizations, government grants, and corporate sponsors.\n\nDavid Altshuler, MD, MPH, is a renowned geneticist and physician who leads the Broad's genetics and population genetics research programs. He focuses on understanding the genetic basis of complex diseases, such as diabetes and heart disease, and developing new methods for analyzing genetic data.\n\nMichael Egholm, PhD, is a distinguished molecular biologist who directs the Broad's sequencing technology development. His work has significantly contributed to advancements in DNA sequencing technologies, enabling faster and more accurate genomic analysis.\n\nStanton L. McMurray, PhD, is a prominent computational biologist who oversees the Broad's bioinformatics and computational biology initiatives. He is responsible for developing tools and algorithms to analyze large-scale genomic data, facilitating breakthroughs in understanding complex biological systems.\n\nEric S. Lander, PhD, is a world-renowned geneticist and molecular biologist who serves as the President and Direct</t>
  </si>
  <si>
    <t>The major strategic priority announced for the upcoming financial year is to enhance digital capabilities and customer experience. This involves investing in technology and data analytics to improve operational efficiency and personalize customer interactions. The goal is to create a seamless and intuitive digital journey for customers across all touchpoints. Additionally, there is a focus on upskilling employees to ensure they have the necessary skills to thrive in a digital-first environment. This strategic priority aligns with the company's commitment to innovation and customer-centricity.</t>
  </si>
  <si>
    <t>The context does not provide specific figures for the total revenue for FY2023. It only mentions that the company's revenue has been growing steadily and that it aims to continue this trend in the future. Therefore, I cannot find this information in the provided documents.</t>
  </si>
  <si>
    <t>The context does not provide specific information on the Earnings Per Share (EPS) for FY2023. It only mentions that the company's EPS has been consistently growing over the years and that it aims to continue this trend in the future. Therefore, I cannot find this information in the provided documents.</t>
  </si>
  <si>
    <t>The context does not provide a specific figure for the Total Assets value for FY2023. It only mentions that the company's assets have been growing steadily over the years and that the company aims to maintain this trend in the future. Therefore, I cannot find this information in the provided documents.</t>
  </si>
  <si>
    <t>The Total Equity attributable to shareholders is $102,947 million as of December 31, 2022. This figure represents the residual interest in the assets of the company after deducting liabilities and includes common stock, retained earnings, and other reserves. It is important to note that this amount does not include non-controlling interests or preferred equity. The Total Equity attributable to shareholders has increased by $8,654 million compared to the previous year, indicating a positive trend in the company's financial health.</t>
  </si>
  <si>
    <t>The Net Asset Value (NAV) per share for the fund is $25.47 as of March 31, 2023. This value represents the total assets of the fund minus its liabilities, divided by the number of shares outstanding. The NAV per share is a crucial metric for investors as it indicates the actual value of one share in the fund. It's important to note that NAV per share can fluctuate based on changes in the market value of the fund's underlying assets and liabilities.</t>
  </si>
  <si>
    <t>The debt-to-equity ratio listed in the Key Financial Ratios table is 0.57.</t>
  </si>
  <si>
    <t>The Business Segment that contributed the highest revenue is the 'Business Area North America'.</t>
  </si>
  <si>
    <t>The largest share of sales comes from Europe, followed by North America and Asia-Pacific.</t>
  </si>
  <si>
    <t>The cost category that increased the most year-on-year is 'Materials and Services'. The cost for this category was $100,000 in 2021 and increased to $150,000 in 2022, representing a 50% increase.</t>
  </si>
  <si>
    <t>The company has made significant strides in its sustainability and ESG (Environmental, Social, and Governance) commitments during the reporting year. In terms of environmental stewardship, the company has reduced its carbon footprint by 20% through a combination of energy-efficient technologies and renewable energy sources. The company has also achieved a 30% reduction in water usage across all operations, demonstrating a strong commitment to water conservation.\n\nIn the social sphere, the company has invested heavily in employee development and wellbeing, with a 15% increase in training programs and a 10% rise in health and safety initiatives. The company has also maintained its commitment to diversity and inclusion, with a 5% increase in hiring from underrepresented groups.\n\nOn the governance front, the company has enhanced transparency and accountability through regular ESG reporting and the establishment of an independent ESG committee. This committee oversees the company's ESG strategy and ensures alignment with global standards such as the UN Global Compact and the Sustainable Development Goals.\n\nOverall, the company's sustainability and ESG efforts have been robust and multifaceted, reflecting a comprehensive approach to responsible business practices.</t>
  </si>
  <si>
    <t>The key risks highlighted in the Risk Management section include operational risk, financial risk, and strategic risk. Operational risk pertains to potential losses resulting from inadequate or failed internal processes, systems, human error, or external events. Financial risk encompasses the possibility of loss due to fluctuations in market conditions, interest rates, credit risk, and liquidity risk. Strategic risk involves the potential for significant negative impacts on business objectives due to poor decision-making, lack of adaptability, or failure to capitalize on opportunities. The document emphasizes the importance of identifying, assessing, and mitigating these risks through robust risk management practices.</t>
  </si>
  <si>
    <t>The business strategy for the next 2-3 years involves three main pillars: expanding the product portfolio, enhancing customer experience, and optimising operational efficiency. The company aims to introduce new products and services that cater to evolving market demands and customer preferences. This includes investing in research and development to create innovative solutions and exploring strategic partnerships or acquisitions to accelerate growth. To enhance customer experience, the company plans to leverage digital technologies such as AI and machine learning to personalise offerings and improve customer engagement. Additionally, the company will focus on strengthening its supply chain and logistics capabilities to ensure timely delivery of products and services. Lastly, the company is committed to improving operational efficiency by streamlining processes, reducing costs, and adopting sustainable practices. Overall, the strategy emphasises a balance between growth and profitability, with a strong focus on customer satisfaction and long-term sustainability.</t>
  </si>
  <si>
    <t>The Operations Review section describes several operational achievements of the company. These include the successful launch and operation of the new satellite constellation, which has significantly improved global coverage and data transmission capabilities. The company also achieved a notable milestone by completing over 100,000 successful satellite-to-ground communication sessions without any major disruptions or failures. Furthermore, the company's operations team managed to reduce the average response time for customer support requests by 25%, demonstrating improved efficiency and customer service. Lastly, the company successfully implemented a new automated system for tracking and managing inventory, which has led to a 15% reduction in inventory-related costs.</t>
  </si>
  <si>
    <t>The four core values that underpin “The UOB Way” are Empathy, Passion, Integrity and Teamwork. These values guide the bank’s actions and decisions, ensuring they align with its mission of being a force for good in Asia.\n\nEmpathy is about understanding and sharing the feelings of others, which helps UOB employees connect with customers and colleagues on a deeper level. This value fosters an environment where everyone feels valued and heard.\n\nPassion drives UOB employees to strive for excellence and continuously improve their skills and knowledge. It encourages them to go above and beyond in serving customers and contributing to the bank's success.\n\nIntegrity involves upholding ethical standards and maintaining honesty and transparency in all dealings. This value ensures that UOB operates with trustworthiness and credibility, both internally and externally.\n\nTeamwork emphasizes collaboration and cooperation among UOB employees. By working together, they can leverage each other's strengths and achieve better results, ultimately benefiting customers and the bank as a whole.\n\nThese four core values collectively shape UOB’s culture and drive its commitment to being a responsible corporate citizen in Asia. They also serve as a foundation for the bank’s strategic initiatives and decision-making processes.</t>
  </si>
  <si>
    <t>The context does not provide specific figures for total customer deposits recorded at the end of FY2023. It only mentions that customer deposits increased by 15% compared to the previous year. Therefore, I cannot find this information in the provided documents.</t>
  </si>
  <si>
    <t>The net interest income increased from $457 million in FY2021 to $689 million in FY2023, representing a growth of approximately 51%. This growth was primarily driven by an increase in average interest-earning assets and a higher net interest margin. The increase in average interest-earning assets was due to strong loan demand and successful marketing campaigns, while the higher net interest margin was attributed to strategic pricing decisions and improved asset mix. Overall, the positive trend in net interest income indicates a strengthening financial position for the company over the two-year period.</t>
  </si>
  <si>
    <t>The Citigroup consumer banking acquisition bolstered UOB's ASEAN strategy by expanding its footprint across key markets such as Thailand and Indonesia. This strategic move enabled UOB to tap into a broader customer base, enhance its digital capabilities, and leverage Citigroup's established brand and expertise in consumer banking. The integration of Citigroup's operations also facilitated cross-selling opportunities and improved operational efficiency for UOB. Overall, the acquisition reinforced UOB's position as a leading bank in the region and supported its ambition to become a top global bank.</t>
  </si>
  <si>
    <t>UOB is enhancing its digital capabilities through various initiatives such as investing in technology and talent, fostering a culture of innovation, and collaborating with external partners. The bank is also focusing on improving customer experience by leveraging data analytics and artificial intelligence (AI) to personalize services and offerings. Additionally, UOB is strengthening its cybersecurity measures to protect sensitive information and maintain trust with customers. These efforts are aimed at driving sustainable growth and staying competitive in the rapidly evolving financial landscape.</t>
  </si>
  <si>
    <t>The changes have made were:
            retriever=retriever_source.as_retriever(
                search_type="mmr",
                search_kwargs={
                    "k": 3,
                    "fetch_k": 20,
                    "lambda_mult": 0.7
                    "filter": {"document_type": "annual_report"}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</si>
</sst>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an Poh Keam (RP)" id="{A63A3EF7-5389-4B72-BA7F-FC0B26E6C3DB}" userId="S::tan_poh_keam@rp.edu.sg::6ba791cb-a644-4a90-b603-e1cf59e388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 dT="2025-12-01T03:02:59.15" personId="{A63A3EF7-5389-4B72-BA7F-FC0B26E6C3DB}" id="{5DE4A2DE-48CB-4DE9-B7B7-1E342BE53084}">
    <text>You can read and derive this, or send the file to leading models and have the model to provide the answers. But please manually check with the relevant pages to ensure grounding</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workbookViewId="0">
      <selection activeCell="I22" sqref="I22"/>
    </sheetView>
  </sheetViews>
  <sheetFormatPr defaultRowHeight="14.5" x14ac:dyDescent="0.35"/>
  <sheetData>
    <row r="1" spans="1:1" x14ac:dyDescent="0.35">
      <c r="A1" t="s">
        <v>0</v>
      </c>
    </row>
    <row r="3" spans="1:1" x14ac:dyDescent="0.35">
      <c r="A3" t="s">
        <v>1</v>
      </c>
    </row>
    <row r="4" spans="1:1" x14ac:dyDescent="0.35">
      <c r="A4" t="s">
        <v>2</v>
      </c>
    </row>
    <row r="6" spans="1:1" x14ac:dyDescent="0.35">
      <c r="A6" t="s">
        <v>3</v>
      </c>
    </row>
    <row r="7" spans="1:1" x14ac:dyDescent="0.35">
      <c r="A7" t="s">
        <v>4</v>
      </c>
    </row>
    <row r="8" spans="1:1" x14ac:dyDescent="0.35">
      <c r="A8" t="s">
        <v>5</v>
      </c>
    </row>
    <row r="9" spans="1:1" x14ac:dyDescent="0.35">
      <c r="A9" t="s">
        <v>6</v>
      </c>
    </row>
    <row r="10" spans="1:1" x14ac:dyDescent="0.35">
      <c r="A10"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row r="18" spans="1:1" x14ac:dyDescent="0.35">
      <c r="A18" t="s">
        <v>13</v>
      </c>
    </row>
  </sheetData>
  <pageMargins left="0.75" right="0.75" top="1" bottom="1" header="0.5" footer="0.5"/>
  <headerFooter>
    <oddHeader>&amp;C&amp;"Aptos"&amp;10&amp;K000000 Official (Closed) \ Sensitive Normal&amp;1#_x000D_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zoomScale="70" zoomScaleNormal="70" workbookViewId="0">
      <selection activeCell="F5" sqref="F5"/>
    </sheetView>
  </sheetViews>
  <sheetFormatPr defaultRowHeight="14.5" x14ac:dyDescent="0.35"/>
  <cols>
    <col min="3" max="3" width="74.26953125" customWidth="1"/>
    <col min="4" max="4" width="62.6328125" style="1" customWidth="1"/>
    <col min="5" max="5" width="27.1796875" style="1" customWidth="1"/>
  </cols>
  <sheetData>
    <row r="1" spans="1:5" x14ac:dyDescent="0.35">
      <c r="A1" t="s">
        <v>14</v>
      </c>
      <c r="C1" t="s">
        <v>63</v>
      </c>
    </row>
    <row r="2" spans="1:5" x14ac:dyDescent="0.35">
      <c r="A2" t="s">
        <v>15</v>
      </c>
      <c r="C2" t="s">
        <v>64</v>
      </c>
    </row>
    <row r="4" spans="1:5" x14ac:dyDescent="0.35">
      <c r="A4" t="s">
        <v>16</v>
      </c>
      <c r="B4" t="s">
        <v>17</v>
      </c>
      <c r="C4" t="s">
        <v>18</v>
      </c>
      <c r="D4" s="1" t="s">
        <v>19</v>
      </c>
      <c r="E4" s="1" t="s">
        <v>20</v>
      </c>
    </row>
    <row r="5" spans="1:5" ht="29" x14ac:dyDescent="0.35">
      <c r="A5">
        <v>1</v>
      </c>
      <c r="B5" t="s">
        <v>21</v>
      </c>
      <c r="C5" t="s">
        <v>22</v>
      </c>
      <c r="D5" s="1" t="s">
        <v>65</v>
      </c>
      <c r="E5" s="1" t="s">
        <v>68</v>
      </c>
    </row>
    <row r="6" spans="1:5" ht="29" x14ac:dyDescent="0.35">
      <c r="A6">
        <v>2</v>
      </c>
      <c r="B6" t="s">
        <v>21</v>
      </c>
      <c r="C6" t="s">
        <v>23</v>
      </c>
      <c r="D6" s="1" t="s">
        <v>66</v>
      </c>
      <c r="E6" s="1" t="s">
        <v>69</v>
      </c>
    </row>
    <row r="7" spans="1:5" x14ac:dyDescent="0.35">
      <c r="A7">
        <v>3</v>
      </c>
      <c r="B7" t="s">
        <v>21</v>
      </c>
      <c r="C7" t="s">
        <v>24</v>
      </c>
      <c r="D7" s="1" t="s">
        <v>67</v>
      </c>
      <c r="E7" s="1" t="s">
        <v>70</v>
      </c>
    </row>
    <row r="8" spans="1:5" ht="87" x14ac:dyDescent="0.35">
      <c r="A8">
        <v>4</v>
      </c>
      <c r="B8" t="s">
        <v>21</v>
      </c>
      <c r="C8" t="s">
        <v>25</v>
      </c>
      <c r="D8" s="1" t="s">
        <v>71</v>
      </c>
      <c r="E8" s="1" t="s">
        <v>72</v>
      </c>
    </row>
    <row r="9" spans="1:5" ht="29" x14ac:dyDescent="0.35">
      <c r="A9">
        <v>5</v>
      </c>
      <c r="B9" t="s">
        <v>21</v>
      </c>
      <c r="C9" t="s">
        <v>26</v>
      </c>
      <c r="D9" s="1" t="s">
        <v>73</v>
      </c>
      <c r="E9" t="s">
        <v>74</v>
      </c>
    </row>
    <row r="10" spans="1:5" x14ac:dyDescent="0.35">
      <c r="A10">
        <v>6</v>
      </c>
      <c r="B10" t="s">
        <v>21</v>
      </c>
      <c r="C10" t="s">
        <v>27</v>
      </c>
      <c r="D10" s="1" t="s">
        <v>75</v>
      </c>
      <c r="E10" s="1" t="s">
        <v>76</v>
      </c>
    </row>
    <row r="11" spans="1:5" ht="29" x14ac:dyDescent="0.35">
      <c r="A11">
        <v>7</v>
      </c>
      <c r="B11" t="s">
        <v>21</v>
      </c>
      <c r="C11" t="s">
        <v>28</v>
      </c>
      <c r="D11" s="1" t="s">
        <v>77</v>
      </c>
      <c r="E11" t="s">
        <v>78</v>
      </c>
    </row>
    <row r="12" spans="1:5" ht="87" x14ac:dyDescent="0.35">
      <c r="A12">
        <v>8</v>
      </c>
      <c r="B12" t="s">
        <v>21</v>
      </c>
      <c r="C12" t="s">
        <v>29</v>
      </c>
      <c r="D12" s="1" t="s">
        <v>79</v>
      </c>
      <c r="E12" t="s">
        <v>80</v>
      </c>
    </row>
    <row r="13" spans="1:5" ht="232" x14ac:dyDescent="0.35">
      <c r="A13">
        <v>9</v>
      </c>
      <c r="B13" t="s">
        <v>21</v>
      </c>
      <c r="C13" t="s">
        <v>30</v>
      </c>
      <c r="D13" s="1" t="s">
        <v>99</v>
      </c>
      <c r="E13" s="1" t="s">
        <v>81</v>
      </c>
    </row>
    <row r="14" spans="1:5" ht="101.5" x14ac:dyDescent="0.35">
      <c r="A14">
        <v>10</v>
      </c>
      <c r="B14" t="s">
        <v>21</v>
      </c>
      <c r="C14" t="s">
        <v>31</v>
      </c>
      <c r="D14" s="1" t="s">
        <v>100</v>
      </c>
      <c r="E14" s="1" t="s">
        <v>82</v>
      </c>
    </row>
    <row r="15" spans="1:5" ht="29" x14ac:dyDescent="0.35">
      <c r="A15">
        <v>11</v>
      </c>
      <c r="B15" t="s">
        <v>32</v>
      </c>
      <c r="C15" t="s">
        <v>33</v>
      </c>
      <c r="D15" s="1" t="s">
        <v>101</v>
      </c>
      <c r="E15" t="s">
        <v>83</v>
      </c>
    </row>
    <row r="16" spans="1:5" ht="29" x14ac:dyDescent="0.35">
      <c r="A16">
        <v>12</v>
      </c>
      <c r="B16" t="s">
        <v>32</v>
      </c>
      <c r="C16" t="s">
        <v>34</v>
      </c>
      <c r="D16" s="1" t="s">
        <v>102</v>
      </c>
      <c r="E16" t="s">
        <v>84</v>
      </c>
    </row>
    <row r="17" spans="1:5" x14ac:dyDescent="0.35">
      <c r="A17">
        <v>13</v>
      </c>
      <c r="B17" t="s">
        <v>32</v>
      </c>
      <c r="C17" t="s">
        <v>35</v>
      </c>
      <c r="D17" s="1" t="s">
        <v>103</v>
      </c>
      <c r="E17" s="1" t="s">
        <v>83</v>
      </c>
    </row>
    <row r="18" spans="1:5" x14ac:dyDescent="0.35">
      <c r="A18">
        <v>14</v>
      </c>
      <c r="B18" t="s">
        <v>32</v>
      </c>
      <c r="C18" t="s">
        <v>36</v>
      </c>
      <c r="D18" t="s">
        <v>105</v>
      </c>
      <c r="E18" t="s">
        <v>85</v>
      </c>
    </row>
    <row r="19" spans="1:5" ht="29" x14ac:dyDescent="0.35">
      <c r="A19">
        <v>15</v>
      </c>
      <c r="B19" t="s">
        <v>32</v>
      </c>
      <c r="C19" t="s">
        <v>37</v>
      </c>
      <c r="D19" s="1" t="s">
        <v>104</v>
      </c>
      <c r="E19" t="s">
        <v>86</v>
      </c>
    </row>
    <row r="20" spans="1:5" x14ac:dyDescent="0.35">
      <c r="A20">
        <v>16</v>
      </c>
      <c r="B20" t="s">
        <v>32</v>
      </c>
      <c r="C20" t="s">
        <v>38</v>
      </c>
      <c r="D20" s="1" t="s">
        <v>106</v>
      </c>
      <c r="E20" t="s">
        <v>87</v>
      </c>
    </row>
    <row r="21" spans="1:5" x14ac:dyDescent="0.35">
      <c r="A21">
        <v>17</v>
      </c>
      <c r="B21" t="s">
        <v>32</v>
      </c>
      <c r="C21" t="s">
        <v>39</v>
      </c>
      <c r="D21" s="1" t="s">
        <v>107</v>
      </c>
      <c r="E21" t="s">
        <v>87</v>
      </c>
    </row>
    <row r="22" spans="1:5" ht="29" x14ac:dyDescent="0.35">
      <c r="A22">
        <v>18</v>
      </c>
      <c r="B22" t="s">
        <v>32</v>
      </c>
      <c r="C22" t="s">
        <v>40</v>
      </c>
      <c r="D22" s="1" t="s">
        <v>108</v>
      </c>
      <c r="E22" s="1" t="s">
        <v>88</v>
      </c>
    </row>
    <row r="23" spans="1:5" ht="72.5" x14ac:dyDescent="0.35">
      <c r="A23">
        <v>19</v>
      </c>
      <c r="B23" t="s">
        <v>32</v>
      </c>
      <c r="C23" t="s">
        <v>41</v>
      </c>
      <c r="D23" s="1" t="s">
        <v>109</v>
      </c>
      <c r="E23" s="1" t="s">
        <v>89</v>
      </c>
    </row>
    <row r="24" spans="1:5" ht="29" x14ac:dyDescent="0.35">
      <c r="A24">
        <v>20</v>
      </c>
      <c r="B24" t="s">
        <v>32</v>
      </c>
      <c r="C24" t="s">
        <v>42</v>
      </c>
      <c r="D24" s="1" t="s">
        <v>110</v>
      </c>
      <c r="E24" t="s">
        <v>90</v>
      </c>
    </row>
    <row r="25" spans="1:5" ht="29" x14ac:dyDescent="0.35">
      <c r="A25">
        <v>21</v>
      </c>
      <c r="B25" t="s">
        <v>43</v>
      </c>
      <c r="C25" t="s">
        <v>44</v>
      </c>
      <c r="D25" s="1" t="s">
        <v>111</v>
      </c>
      <c r="E25" t="s">
        <v>87</v>
      </c>
    </row>
    <row r="26" spans="1:5" ht="43.5" x14ac:dyDescent="0.35">
      <c r="A26">
        <v>22</v>
      </c>
      <c r="B26" t="s">
        <v>43</v>
      </c>
      <c r="C26" t="s">
        <v>45</v>
      </c>
      <c r="D26" s="1" t="s">
        <v>112</v>
      </c>
      <c r="E26" s="1" t="s">
        <v>91</v>
      </c>
    </row>
    <row r="27" spans="1:5" ht="58" x14ac:dyDescent="0.35">
      <c r="A27">
        <v>23</v>
      </c>
      <c r="B27" t="s">
        <v>43</v>
      </c>
      <c r="C27" t="s">
        <v>46</v>
      </c>
      <c r="D27" s="1" t="s">
        <v>113</v>
      </c>
      <c r="E27" s="1" t="s">
        <v>92</v>
      </c>
    </row>
    <row r="28" spans="1:5" ht="29" x14ac:dyDescent="0.35">
      <c r="A28">
        <v>24</v>
      </c>
      <c r="B28" t="s">
        <v>43</v>
      </c>
      <c r="C28" t="s">
        <v>47</v>
      </c>
      <c r="D28" s="1" t="s">
        <v>114</v>
      </c>
      <c r="E28" s="1" t="s">
        <v>93</v>
      </c>
    </row>
    <row r="29" spans="1:5" ht="87" x14ac:dyDescent="0.35">
      <c r="A29">
        <v>25</v>
      </c>
      <c r="B29" t="s">
        <v>43</v>
      </c>
      <c r="C29" t="s">
        <v>48</v>
      </c>
      <c r="D29" s="1" t="s">
        <v>115</v>
      </c>
      <c r="E29" s="1" t="s">
        <v>94</v>
      </c>
    </row>
    <row r="30" spans="1:5" ht="116" x14ac:dyDescent="0.35">
      <c r="A30">
        <v>26</v>
      </c>
      <c r="B30" t="s">
        <v>49</v>
      </c>
      <c r="C30" t="s">
        <v>50</v>
      </c>
      <c r="D30" s="1" t="s">
        <v>116</v>
      </c>
      <c r="E30" s="1" t="s">
        <v>82</v>
      </c>
    </row>
    <row r="31" spans="1:5" ht="87" x14ac:dyDescent="0.35">
      <c r="A31">
        <v>27</v>
      </c>
      <c r="B31" t="s">
        <v>49</v>
      </c>
      <c r="C31" t="s">
        <v>51</v>
      </c>
      <c r="D31" s="1" t="s">
        <v>117</v>
      </c>
      <c r="E31" s="1" t="s">
        <v>95</v>
      </c>
    </row>
    <row r="32" spans="1:5" ht="43.5" x14ac:dyDescent="0.35">
      <c r="A32">
        <v>28</v>
      </c>
      <c r="B32" t="s">
        <v>49</v>
      </c>
      <c r="C32" t="s">
        <v>52</v>
      </c>
      <c r="D32" s="1" t="s">
        <v>118</v>
      </c>
      <c r="E32" s="1" t="s">
        <v>96</v>
      </c>
    </row>
    <row r="33" spans="1:5" ht="87" x14ac:dyDescent="0.35">
      <c r="A33">
        <v>29</v>
      </c>
      <c r="B33" t="s">
        <v>49</v>
      </c>
      <c r="C33" t="s">
        <v>53</v>
      </c>
      <c r="D33" s="1" t="s">
        <v>119</v>
      </c>
      <c r="E33" s="1" t="s">
        <v>97</v>
      </c>
    </row>
    <row r="34" spans="1:5" ht="101.5" x14ac:dyDescent="0.35">
      <c r="A34">
        <v>30</v>
      </c>
      <c r="B34" t="s">
        <v>49</v>
      </c>
      <c r="C34" t="s">
        <v>54</v>
      </c>
      <c r="D34" s="1" t="s">
        <v>120</v>
      </c>
      <c r="E34" s="1" t="s">
        <v>98</v>
      </c>
    </row>
    <row r="35" spans="1:5" x14ac:dyDescent="0.35">
      <c r="C35" t="s">
        <v>55</v>
      </c>
    </row>
  </sheetData>
  <pageMargins left="0.75" right="0.75" top="1" bottom="1" header="0.5" footer="0.5"/>
  <headerFooter>
    <oddHeader>&amp;C&amp;"Aptos"&amp;10&amp;K000000 Official (Closed) \ Sensitive Normal&amp;1#_x000D_</oddHead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22AB-4309-43B1-90EE-A79C3AEEB18C}">
  <dimension ref="A2:H43"/>
  <sheetViews>
    <sheetView zoomScale="73" zoomScaleNormal="100" workbookViewId="0">
      <selection activeCell="G47" sqref="G47"/>
    </sheetView>
  </sheetViews>
  <sheetFormatPr defaultRowHeight="14.5" x14ac:dyDescent="0.35"/>
  <cols>
    <col min="1" max="1" width="22.1796875" customWidth="1"/>
    <col min="2" max="2" width="23.453125" customWidth="1"/>
    <col min="3" max="3" width="99.26953125" customWidth="1"/>
    <col min="4" max="4" width="32.26953125" customWidth="1"/>
    <col min="5" max="5" width="29.81640625" customWidth="1"/>
    <col min="6" max="6" width="26.54296875" style="1" customWidth="1"/>
    <col min="7" max="9" width="41" customWidth="1"/>
  </cols>
  <sheetData>
    <row r="2" spans="1:8" x14ac:dyDescent="0.35">
      <c r="A2" t="s">
        <v>56</v>
      </c>
      <c r="B2" t="s">
        <v>156</v>
      </c>
    </row>
    <row r="4" spans="1:8" x14ac:dyDescent="0.35">
      <c r="A4" t="s">
        <v>16</v>
      </c>
      <c r="B4" t="s">
        <v>17</v>
      </c>
      <c r="C4" t="s">
        <v>18</v>
      </c>
      <c r="D4" t="s">
        <v>57</v>
      </c>
      <c r="E4" t="s">
        <v>58</v>
      </c>
      <c r="F4" s="1" t="s">
        <v>59</v>
      </c>
      <c r="G4" t="s">
        <v>60</v>
      </c>
      <c r="H4" t="s">
        <v>61</v>
      </c>
    </row>
    <row r="5" spans="1:8" x14ac:dyDescent="0.35">
      <c r="A5">
        <v>1</v>
      </c>
      <c r="B5" t="s">
        <v>21</v>
      </c>
      <c r="C5" t="s">
        <v>22</v>
      </c>
      <c r="F5" s="1" t="s">
        <v>142</v>
      </c>
      <c r="G5">
        <v>0</v>
      </c>
    </row>
    <row r="6" spans="1:8" x14ac:dyDescent="0.35">
      <c r="A6">
        <v>2</v>
      </c>
      <c r="B6" t="s">
        <v>21</v>
      </c>
      <c r="C6" t="s">
        <v>23</v>
      </c>
      <c r="F6" s="1" t="s">
        <v>142</v>
      </c>
      <c r="G6">
        <v>0</v>
      </c>
    </row>
    <row r="7" spans="1:8" x14ac:dyDescent="0.35">
      <c r="A7">
        <v>3</v>
      </c>
      <c r="B7" t="s">
        <v>21</v>
      </c>
      <c r="C7" t="s">
        <v>24</v>
      </c>
      <c r="F7" s="1" t="s">
        <v>142</v>
      </c>
      <c r="G7">
        <v>0</v>
      </c>
    </row>
    <row r="8" spans="1:8" ht="406" x14ac:dyDescent="0.35">
      <c r="A8">
        <v>4</v>
      </c>
      <c r="B8" t="s">
        <v>21</v>
      </c>
      <c r="C8" t="s">
        <v>25</v>
      </c>
      <c r="F8" s="1" t="s">
        <v>121</v>
      </c>
      <c r="G8">
        <v>2</v>
      </c>
    </row>
    <row r="9" spans="1:8" ht="260.5" customHeight="1" x14ac:dyDescent="0.35">
      <c r="A9">
        <v>5</v>
      </c>
      <c r="B9" t="s">
        <v>21</v>
      </c>
      <c r="C9" t="s">
        <v>26</v>
      </c>
      <c r="F9" s="1" t="s">
        <v>122</v>
      </c>
      <c r="G9">
        <v>2</v>
      </c>
    </row>
    <row r="10" spans="1:8" x14ac:dyDescent="0.35">
      <c r="A10">
        <v>6</v>
      </c>
      <c r="B10" t="s">
        <v>21</v>
      </c>
      <c r="C10" t="s">
        <v>27</v>
      </c>
      <c r="F10" s="1" t="s">
        <v>142</v>
      </c>
      <c r="G10">
        <v>0</v>
      </c>
    </row>
    <row r="11" spans="1:8" ht="161.5" customHeight="1" x14ac:dyDescent="0.35">
      <c r="A11">
        <v>7</v>
      </c>
      <c r="B11" t="s">
        <v>21</v>
      </c>
      <c r="C11" t="s">
        <v>28</v>
      </c>
      <c r="F11" s="1" t="s">
        <v>123</v>
      </c>
      <c r="G11">
        <v>2</v>
      </c>
    </row>
    <row r="12" spans="1:8" ht="391" customHeight="1" x14ac:dyDescent="0.35">
      <c r="A12">
        <v>8</v>
      </c>
      <c r="B12" t="s">
        <v>21</v>
      </c>
      <c r="C12" t="s">
        <v>29</v>
      </c>
      <c r="F12" s="1" t="s">
        <v>124</v>
      </c>
      <c r="G12">
        <v>2</v>
      </c>
    </row>
    <row r="13" spans="1:8" ht="401.5" customHeight="1" x14ac:dyDescent="0.35">
      <c r="A13">
        <v>9</v>
      </c>
      <c r="B13" t="s">
        <v>21</v>
      </c>
      <c r="C13" t="s">
        <v>30</v>
      </c>
      <c r="F13" s="1" t="s">
        <v>125</v>
      </c>
      <c r="G13">
        <v>2</v>
      </c>
    </row>
    <row r="14" spans="1:8" ht="203" x14ac:dyDescent="0.35">
      <c r="A14">
        <v>10</v>
      </c>
      <c r="B14" t="s">
        <v>21</v>
      </c>
      <c r="C14" t="s">
        <v>31</v>
      </c>
      <c r="F14" s="1" t="s">
        <v>126</v>
      </c>
      <c r="G14">
        <v>2</v>
      </c>
    </row>
    <row r="15" spans="1:8" x14ac:dyDescent="0.35">
      <c r="A15">
        <v>11</v>
      </c>
      <c r="B15" t="s">
        <v>32</v>
      </c>
      <c r="C15" t="s">
        <v>33</v>
      </c>
      <c r="F15" s="1" t="s">
        <v>142</v>
      </c>
      <c r="G15">
        <v>0</v>
      </c>
    </row>
    <row r="16" spans="1:8" ht="29" x14ac:dyDescent="0.35">
      <c r="A16">
        <v>12</v>
      </c>
      <c r="B16" t="s">
        <v>32</v>
      </c>
      <c r="C16" t="s">
        <v>34</v>
      </c>
      <c r="F16" s="1" t="s">
        <v>127</v>
      </c>
      <c r="G16">
        <v>2</v>
      </c>
    </row>
    <row r="17" spans="1:7" ht="159.5" x14ac:dyDescent="0.35">
      <c r="A17">
        <v>13</v>
      </c>
      <c r="B17" t="s">
        <v>32</v>
      </c>
      <c r="C17" t="s">
        <v>35</v>
      </c>
      <c r="F17" s="1" t="s">
        <v>128</v>
      </c>
      <c r="G17">
        <v>1</v>
      </c>
    </row>
    <row r="18" spans="1:7" ht="145" x14ac:dyDescent="0.35">
      <c r="A18">
        <v>14</v>
      </c>
      <c r="B18" t="s">
        <v>32</v>
      </c>
      <c r="C18" t="s">
        <v>36</v>
      </c>
      <c r="F18" s="1" t="s">
        <v>129</v>
      </c>
      <c r="G18">
        <v>1</v>
      </c>
    </row>
    <row r="19" spans="1:7" ht="232" x14ac:dyDescent="0.35">
      <c r="A19">
        <v>15</v>
      </c>
      <c r="B19" t="s">
        <v>32</v>
      </c>
      <c r="C19" t="s">
        <v>37</v>
      </c>
      <c r="F19" s="1" t="s">
        <v>130</v>
      </c>
      <c r="G19">
        <v>2</v>
      </c>
    </row>
    <row r="20" spans="1:7" ht="261" x14ac:dyDescent="0.35">
      <c r="A20">
        <v>16</v>
      </c>
      <c r="B20" t="s">
        <v>32</v>
      </c>
      <c r="C20" t="s">
        <v>38</v>
      </c>
      <c r="F20" s="1" t="s">
        <v>131</v>
      </c>
      <c r="G20">
        <v>2</v>
      </c>
    </row>
    <row r="21" spans="1:7" ht="43.5" x14ac:dyDescent="0.35">
      <c r="A21">
        <v>17</v>
      </c>
      <c r="B21" t="s">
        <v>32</v>
      </c>
      <c r="C21" t="s">
        <v>39</v>
      </c>
      <c r="F21" s="1" t="s">
        <v>132</v>
      </c>
      <c r="G21">
        <v>2</v>
      </c>
    </row>
    <row r="22" spans="1:7" ht="188.5" x14ac:dyDescent="0.35">
      <c r="A22">
        <v>18</v>
      </c>
      <c r="B22" t="s">
        <v>32</v>
      </c>
      <c r="C22" t="s">
        <v>40</v>
      </c>
      <c r="F22" s="1" t="s">
        <v>133</v>
      </c>
      <c r="G22">
        <v>1</v>
      </c>
    </row>
    <row r="23" spans="1:7" ht="101.5" x14ac:dyDescent="0.35">
      <c r="A23">
        <v>19</v>
      </c>
      <c r="B23" t="s">
        <v>32</v>
      </c>
      <c r="C23" t="s">
        <v>41</v>
      </c>
      <c r="F23" s="1" t="s">
        <v>134</v>
      </c>
      <c r="G23">
        <v>1</v>
      </c>
    </row>
    <row r="24" spans="1:7" ht="43.5" x14ac:dyDescent="0.35">
      <c r="A24">
        <v>20</v>
      </c>
      <c r="B24" t="s">
        <v>32</v>
      </c>
      <c r="C24" t="s">
        <v>42</v>
      </c>
      <c r="F24" s="1" t="s">
        <v>135</v>
      </c>
      <c r="G24">
        <v>2</v>
      </c>
    </row>
    <row r="25" spans="1:7" x14ac:dyDescent="0.35">
      <c r="A25">
        <v>21</v>
      </c>
      <c r="B25" t="s">
        <v>43</v>
      </c>
      <c r="C25" t="s">
        <v>44</v>
      </c>
      <c r="F25" s="1" t="s">
        <v>142</v>
      </c>
      <c r="G25">
        <v>0</v>
      </c>
    </row>
    <row r="26" spans="1:7" x14ac:dyDescent="0.35">
      <c r="A26">
        <v>22</v>
      </c>
      <c r="B26" t="s">
        <v>43</v>
      </c>
      <c r="C26" t="s">
        <v>45</v>
      </c>
      <c r="F26" s="1" t="s">
        <v>142</v>
      </c>
      <c r="G26">
        <v>0</v>
      </c>
    </row>
    <row r="27" spans="1:7" x14ac:dyDescent="0.35">
      <c r="A27">
        <v>23</v>
      </c>
      <c r="B27" t="s">
        <v>43</v>
      </c>
      <c r="C27" t="s">
        <v>46</v>
      </c>
      <c r="F27" s="1" t="s">
        <v>142</v>
      </c>
      <c r="G27">
        <v>0</v>
      </c>
    </row>
    <row r="28" spans="1:7" ht="58" x14ac:dyDescent="0.35">
      <c r="A28">
        <v>24</v>
      </c>
      <c r="B28" t="s">
        <v>43</v>
      </c>
      <c r="C28" t="s">
        <v>47</v>
      </c>
      <c r="F28" s="1" t="s">
        <v>136</v>
      </c>
      <c r="G28">
        <v>2</v>
      </c>
    </row>
    <row r="29" spans="1:7" ht="72.5" x14ac:dyDescent="0.35">
      <c r="A29">
        <v>25</v>
      </c>
      <c r="B29" t="s">
        <v>43</v>
      </c>
      <c r="C29" t="s">
        <v>48</v>
      </c>
      <c r="F29" s="1" t="s">
        <v>137</v>
      </c>
      <c r="G29">
        <v>2</v>
      </c>
    </row>
    <row r="30" spans="1:7" ht="246.5" x14ac:dyDescent="0.35">
      <c r="A30">
        <v>26</v>
      </c>
      <c r="B30" t="s">
        <v>49</v>
      </c>
      <c r="C30" t="s">
        <v>50</v>
      </c>
      <c r="F30" s="1" t="s">
        <v>138</v>
      </c>
      <c r="G30">
        <v>2</v>
      </c>
    </row>
    <row r="31" spans="1:7" ht="409.5" x14ac:dyDescent="0.35">
      <c r="A31">
        <v>27</v>
      </c>
      <c r="B31" t="s">
        <v>49</v>
      </c>
      <c r="C31" t="s">
        <v>51</v>
      </c>
      <c r="F31" s="1" t="s">
        <v>180</v>
      </c>
      <c r="G31">
        <v>2</v>
      </c>
    </row>
    <row r="32" spans="1:7" ht="409.5" x14ac:dyDescent="0.35">
      <c r="A32">
        <v>28</v>
      </c>
      <c r="B32" t="s">
        <v>49</v>
      </c>
      <c r="C32" t="s">
        <v>52</v>
      </c>
      <c r="F32" s="1" t="s">
        <v>139</v>
      </c>
      <c r="G32">
        <v>2</v>
      </c>
    </row>
    <row r="33" spans="1:7" ht="409.5" x14ac:dyDescent="0.35">
      <c r="A33">
        <v>29</v>
      </c>
      <c r="B33" t="s">
        <v>49</v>
      </c>
      <c r="C33" t="s">
        <v>53</v>
      </c>
      <c r="F33" s="1" t="s">
        <v>140</v>
      </c>
      <c r="G33">
        <v>2</v>
      </c>
    </row>
    <row r="34" spans="1:7" ht="391.5" x14ac:dyDescent="0.35">
      <c r="A34">
        <v>30</v>
      </c>
      <c r="B34" t="s">
        <v>49</v>
      </c>
      <c r="C34" t="s">
        <v>54</v>
      </c>
      <c r="F34" s="1" t="s">
        <v>141</v>
      </c>
      <c r="G34">
        <v>2</v>
      </c>
    </row>
    <row r="35" spans="1:7" ht="203" x14ac:dyDescent="0.35">
      <c r="A35">
        <v>31</v>
      </c>
      <c r="B35" t="s">
        <v>21</v>
      </c>
      <c r="C35" t="s">
        <v>143</v>
      </c>
      <c r="F35" s="1" t="s">
        <v>151</v>
      </c>
      <c r="G35">
        <v>2</v>
      </c>
    </row>
    <row r="36" spans="1:7" x14ac:dyDescent="0.35">
      <c r="A36">
        <v>32</v>
      </c>
      <c r="B36" t="s">
        <v>32</v>
      </c>
      <c r="C36" t="s">
        <v>144</v>
      </c>
      <c r="F36" s="1" t="s">
        <v>142</v>
      </c>
      <c r="G36">
        <v>0</v>
      </c>
    </row>
    <row r="37" spans="1:7" ht="290" x14ac:dyDescent="0.35">
      <c r="A37">
        <v>33</v>
      </c>
      <c r="B37" t="s">
        <v>32</v>
      </c>
      <c r="C37" t="s">
        <v>145</v>
      </c>
      <c r="F37" s="1" t="s">
        <v>152</v>
      </c>
      <c r="G37">
        <v>1</v>
      </c>
    </row>
    <row r="38" spans="1:7" x14ac:dyDescent="0.35">
      <c r="A38">
        <v>34</v>
      </c>
      <c r="B38" t="s">
        <v>32</v>
      </c>
      <c r="C38" t="s">
        <v>146</v>
      </c>
      <c r="F38" s="1" t="s">
        <v>142</v>
      </c>
      <c r="G38">
        <v>0</v>
      </c>
    </row>
    <row r="39" spans="1:7" ht="203" x14ac:dyDescent="0.35">
      <c r="A39">
        <v>35</v>
      </c>
      <c r="B39" t="s">
        <v>43</v>
      </c>
      <c r="C39" t="s">
        <v>147</v>
      </c>
      <c r="F39" s="1" t="s">
        <v>153</v>
      </c>
      <c r="G39">
        <v>2</v>
      </c>
    </row>
    <row r="40" spans="1:7" x14ac:dyDescent="0.35">
      <c r="A40">
        <v>36</v>
      </c>
      <c r="B40" t="s">
        <v>43</v>
      </c>
      <c r="C40" t="s">
        <v>148</v>
      </c>
      <c r="F40" s="1" t="s">
        <v>142</v>
      </c>
      <c r="G40">
        <v>0</v>
      </c>
    </row>
    <row r="41" spans="1:7" ht="409.5" x14ac:dyDescent="0.35">
      <c r="A41">
        <v>37</v>
      </c>
      <c r="B41" t="s">
        <v>49</v>
      </c>
      <c r="C41" t="s">
        <v>149</v>
      </c>
      <c r="F41" s="1" t="s">
        <v>154</v>
      </c>
      <c r="G41">
        <v>2</v>
      </c>
    </row>
    <row r="42" spans="1:7" ht="290" x14ac:dyDescent="0.35">
      <c r="A42">
        <v>38</v>
      </c>
      <c r="B42" t="s">
        <v>49</v>
      </c>
      <c r="C42" t="s">
        <v>150</v>
      </c>
      <c r="F42" s="1" t="s">
        <v>155</v>
      </c>
      <c r="G42">
        <v>2</v>
      </c>
    </row>
    <row r="43" spans="1:7" x14ac:dyDescent="0.35">
      <c r="G43">
        <f>SUM(G5:G42)</f>
        <v>49</v>
      </c>
    </row>
  </sheetData>
  <conditionalFormatting sqref="E5:E34 G5:G42">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E5:E34 G5:G10 G12:G34" xr:uid="{27A54858-A367-4342-BE33-4388515E38C3}">
      <formula1>"0,1,2"</formula1>
    </dataValidation>
    <dataValidation type="list" allowBlank="1" showInputMessage="1" showErrorMessage="1" sqref="D5:D34" xr:uid="{BD809C5F-33CA-43F4-960F-766AB62F53DB}">
      <formula1>"Y,N"</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B74E-CE89-425C-BDC4-510F27640A19}">
  <dimension ref="A2:H43"/>
  <sheetViews>
    <sheetView zoomScale="70" zoomScaleNormal="70" workbookViewId="0">
      <selection activeCell="B2" sqref="B2"/>
    </sheetView>
  </sheetViews>
  <sheetFormatPr defaultRowHeight="14.5" x14ac:dyDescent="0.35"/>
  <cols>
    <col min="1" max="1" width="22.1796875" customWidth="1"/>
    <col min="2" max="2" width="34.1796875" customWidth="1"/>
    <col min="3" max="3" width="90.26953125" customWidth="1"/>
    <col min="4" max="4" width="32.26953125" customWidth="1"/>
    <col min="5" max="5" width="29.81640625" customWidth="1"/>
    <col min="6" max="6" width="26.54296875" style="1" customWidth="1"/>
    <col min="7" max="9" width="41" customWidth="1"/>
  </cols>
  <sheetData>
    <row r="2" spans="1:8" ht="145" x14ac:dyDescent="0.35">
      <c r="A2" t="s">
        <v>56</v>
      </c>
      <c r="B2" s="1" t="s">
        <v>157</v>
      </c>
    </row>
    <row r="4" spans="1:8" x14ac:dyDescent="0.35">
      <c r="A4" t="s">
        <v>16</v>
      </c>
      <c r="B4" t="s">
        <v>17</v>
      </c>
      <c r="C4" t="s">
        <v>18</v>
      </c>
      <c r="D4" t="s">
        <v>57</v>
      </c>
      <c r="E4" t="s">
        <v>58</v>
      </c>
      <c r="F4" s="1" t="s">
        <v>59</v>
      </c>
      <c r="G4" t="s">
        <v>60</v>
      </c>
      <c r="H4" t="s">
        <v>61</v>
      </c>
    </row>
    <row r="5" spans="1:8" x14ac:dyDescent="0.35">
      <c r="A5">
        <v>1</v>
      </c>
      <c r="B5" t="s">
        <v>21</v>
      </c>
      <c r="C5" t="s">
        <v>22</v>
      </c>
      <c r="F5" s="1" t="s">
        <v>142</v>
      </c>
      <c r="G5">
        <v>0</v>
      </c>
    </row>
    <row r="6" spans="1:8" x14ac:dyDescent="0.35">
      <c r="A6">
        <v>2</v>
      </c>
      <c r="B6" t="s">
        <v>21</v>
      </c>
      <c r="C6" t="s">
        <v>23</v>
      </c>
      <c r="F6" s="1" t="s">
        <v>142</v>
      </c>
      <c r="G6">
        <v>0</v>
      </c>
    </row>
    <row r="7" spans="1:8" x14ac:dyDescent="0.35">
      <c r="A7">
        <v>3</v>
      </c>
      <c r="B7" t="s">
        <v>21</v>
      </c>
      <c r="C7" t="s">
        <v>24</v>
      </c>
      <c r="F7" s="1">
        <v>1985</v>
      </c>
      <c r="G7">
        <v>2</v>
      </c>
    </row>
    <row r="8" spans="1:8" ht="362.5" x14ac:dyDescent="0.35">
      <c r="A8">
        <v>4</v>
      </c>
      <c r="B8" t="s">
        <v>21</v>
      </c>
      <c r="C8" t="s">
        <v>25</v>
      </c>
      <c r="F8" s="1" t="s">
        <v>158</v>
      </c>
      <c r="G8">
        <v>2</v>
      </c>
    </row>
    <row r="9" spans="1:8" ht="362.5" x14ac:dyDescent="0.35">
      <c r="A9">
        <v>5</v>
      </c>
      <c r="B9" t="s">
        <v>21</v>
      </c>
      <c r="C9" t="s">
        <v>26</v>
      </c>
      <c r="F9" s="1" t="s">
        <v>159</v>
      </c>
      <c r="G9">
        <v>2</v>
      </c>
    </row>
    <row r="10" spans="1:8" x14ac:dyDescent="0.35">
      <c r="A10">
        <v>6</v>
      </c>
      <c r="B10" t="s">
        <v>21</v>
      </c>
      <c r="C10" t="s">
        <v>27</v>
      </c>
      <c r="F10" s="1" t="s">
        <v>142</v>
      </c>
      <c r="G10">
        <v>0</v>
      </c>
    </row>
    <row r="11" spans="1:8" ht="406" x14ac:dyDescent="0.35">
      <c r="A11">
        <v>7</v>
      </c>
      <c r="B11" t="s">
        <v>21</v>
      </c>
      <c r="C11" t="s">
        <v>28</v>
      </c>
      <c r="F11" s="1" t="s">
        <v>160</v>
      </c>
      <c r="G11">
        <v>2</v>
      </c>
    </row>
    <row r="12" spans="1:8" ht="409.5" x14ac:dyDescent="0.35">
      <c r="A12">
        <v>8</v>
      </c>
      <c r="B12" t="s">
        <v>21</v>
      </c>
      <c r="C12" t="s">
        <v>29</v>
      </c>
      <c r="F12" s="1" t="s">
        <v>161</v>
      </c>
      <c r="G12">
        <v>2</v>
      </c>
    </row>
    <row r="13" spans="1:8" ht="409.5" x14ac:dyDescent="0.35">
      <c r="A13">
        <v>9</v>
      </c>
      <c r="B13" t="s">
        <v>21</v>
      </c>
      <c r="C13" t="s">
        <v>30</v>
      </c>
      <c r="F13" s="1" t="s">
        <v>179</v>
      </c>
      <c r="G13">
        <v>2</v>
      </c>
    </row>
    <row r="14" spans="1:8" ht="203" x14ac:dyDescent="0.35">
      <c r="A14">
        <v>10</v>
      </c>
      <c r="B14" t="s">
        <v>21</v>
      </c>
      <c r="C14" t="s">
        <v>31</v>
      </c>
      <c r="F14" s="1" t="s">
        <v>162</v>
      </c>
      <c r="G14">
        <v>2</v>
      </c>
    </row>
    <row r="15" spans="1:8" x14ac:dyDescent="0.35">
      <c r="A15">
        <v>11</v>
      </c>
      <c r="B15" t="s">
        <v>32</v>
      </c>
      <c r="C15" t="s">
        <v>33</v>
      </c>
      <c r="F15" s="1" t="s">
        <v>142</v>
      </c>
      <c r="G15">
        <v>0</v>
      </c>
    </row>
    <row r="16" spans="1:8" ht="29" x14ac:dyDescent="0.35">
      <c r="A16">
        <v>12</v>
      </c>
      <c r="B16" t="s">
        <v>32</v>
      </c>
      <c r="C16" t="s">
        <v>34</v>
      </c>
      <c r="F16" s="1" t="s">
        <v>127</v>
      </c>
      <c r="G16">
        <v>2</v>
      </c>
    </row>
    <row r="17" spans="1:7" ht="261" x14ac:dyDescent="0.35">
      <c r="A17">
        <v>13</v>
      </c>
      <c r="B17" t="s">
        <v>32</v>
      </c>
      <c r="C17" t="s">
        <v>35</v>
      </c>
      <c r="F17" s="1" t="s">
        <v>163</v>
      </c>
      <c r="G17">
        <v>1</v>
      </c>
    </row>
    <row r="18" spans="1:7" ht="116" x14ac:dyDescent="0.35">
      <c r="A18">
        <v>14</v>
      </c>
      <c r="B18" t="s">
        <v>32</v>
      </c>
      <c r="C18" t="s">
        <v>36</v>
      </c>
      <c r="F18" s="1" t="s">
        <v>164</v>
      </c>
      <c r="G18">
        <v>1</v>
      </c>
    </row>
    <row r="19" spans="1:7" ht="246.5" x14ac:dyDescent="0.35">
      <c r="A19">
        <v>15</v>
      </c>
      <c r="B19" t="s">
        <v>32</v>
      </c>
      <c r="C19" t="s">
        <v>37</v>
      </c>
      <c r="F19" s="1" t="s">
        <v>165</v>
      </c>
      <c r="G19">
        <v>2</v>
      </c>
    </row>
    <row r="20" spans="1:7" ht="246.5" x14ac:dyDescent="0.35">
      <c r="A20">
        <v>16</v>
      </c>
      <c r="B20" t="s">
        <v>32</v>
      </c>
      <c r="C20" t="s">
        <v>38</v>
      </c>
      <c r="F20" s="1" t="s">
        <v>166</v>
      </c>
      <c r="G20">
        <v>2</v>
      </c>
    </row>
    <row r="21" spans="1:7" ht="43.5" x14ac:dyDescent="0.35">
      <c r="A21">
        <v>17</v>
      </c>
      <c r="B21" t="s">
        <v>32</v>
      </c>
      <c r="C21" t="s">
        <v>39</v>
      </c>
      <c r="F21" s="1" t="s">
        <v>132</v>
      </c>
      <c r="G21">
        <v>2</v>
      </c>
    </row>
    <row r="22" spans="1:7" ht="188.5" x14ac:dyDescent="0.35">
      <c r="A22">
        <v>18</v>
      </c>
      <c r="B22" t="s">
        <v>32</v>
      </c>
      <c r="C22" t="s">
        <v>40</v>
      </c>
      <c r="F22" s="1" t="s">
        <v>133</v>
      </c>
      <c r="G22">
        <v>1</v>
      </c>
    </row>
    <row r="23" spans="1:7" x14ac:dyDescent="0.35">
      <c r="A23">
        <v>19</v>
      </c>
      <c r="B23" t="s">
        <v>32</v>
      </c>
      <c r="C23" t="s">
        <v>41</v>
      </c>
      <c r="F23" s="1" t="s">
        <v>142</v>
      </c>
      <c r="G23">
        <v>0</v>
      </c>
    </row>
    <row r="24" spans="1:7" ht="43.5" x14ac:dyDescent="0.35">
      <c r="A24">
        <v>20</v>
      </c>
      <c r="B24" t="s">
        <v>32</v>
      </c>
      <c r="C24" t="s">
        <v>42</v>
      </c>
      <c r="F24" s="1" t="s">
        <v>135</v>
      </c>
      <c r="G24">
        <v>2</v>
      </c>
    </row>
    <row r="25" spans="1:7" x14ac:dyDescent="0.35">
      <c r="A25">
        <v>21</v>
      </c>
      <c r="B25" t="s">
        <v>43</v>
      </c>
      <c r="C25" t="s">
        <v>44</v>
      </c>
      <c r="F25" s="1" t="s">
        <v>142</v>
      </c>
      <c r="G25">
        <v>0</v>
      </c>
    </row>
    <row r="26" spans="1:7" ht="43.5" x14ac:dyDescent="0.35">
      <c r="A26">
        <v>22</v>
      </c>
      <c r="B26" t="s">
        <v>43</v>
      </c>
      <c r="C26" t="s">
        <v>45</v>
      </c>
      <c r="F26" s="1" t="s">
        <v>167</v>
      </c>
      <c r="G26">
        <v>2</v>
      </c>
    </row>
    <row r="27" spans="1:7" x14ac:dyDescent="0.35">
      <c r="A27">
        <v>23</v>
      </c>
      <c r="B27" t="s">
        <v>43</v>
      </c>
      <c r="C27" t="s">
        <v>46</v>
      </c>
      <c r="F27" s="1" t="s">
        <v>142</v>
      </c>
      <c r="G27">
        <v>0</v>
      </c>
    </row>
    <row r="28" spans="1:7" ht="58" x14ac:dyDescent="0.35">
      <c r="A28">
        <v>24</v>
      </c>
      <c r="B28" t="s">
        <v>43</v>
      </c>
      <c r="C28" t="s">
        <v>47</v>
      </c>
      <c r="F28" s="1" t="s">
        <v>136</v>
      </c>
      <c r="G28">
        <v>2</v>
      </c>
    </row>
    <row r="29" spans="1:7" ht="101.5" x14ac:dyDescent="0.35">
      <c r="A29">
        <v>25</v>
      </c>
      <c r="B29" t="s">
        <v>43</v>
      </c>
      <c r="C29" t="s">
        <v>48</v>
      </c>
      <c r="F29" s="1" t="s">
        <v>168</v>
      </c>
      <c r="G29">
        <v>2</v>
      </c>
    </row>
    <row r="30" spans="1:7" ht="217.5" x14ac:dyDescent="0.35">
      <c r="A30">
        <v>26</v>
      </c>
      <c r="B30" t="s">
        <v>49</v>
      </c>
      <c r="C30" t="s">
        <v>50</v>
      </c>
      <c r="F30" s="1" t="s">
        <v>169</v>
      </c>
      <c r="G30">
        <v>2</v>
      </c>
    </row>
    <row r="31" spans="1:7" ht="409.5" x14ac:dyDescent="0.35">
      <c r="A31">
        <v>27</v>
      </c>
      <c r="B31" t="s">
        <v>49</v>
      </c>
      <c r="C31" t="s">
        <v>51</v>
      </c>
      <c r="F31" s="1" t="s">
        <v>170</v>
      </c>
      <c r="G31">
        <v>2</v>
      </c>
    </row>
    <row r="32" spans="1:7" ht="409.5" x14ac:dyDescent="0.35">
      <c r="A32">
        <v>28</v>
      </c>
      <c r="B32" t="s">
        <v>49</v>
      </c>
      <c r="C32" t="s">
        <v>52</v>
      </c>
      <c r="F32" s="1" t="s">
        <v>171</v>
      </c>
      <c r="G32">
        <v>2</v>
      </c>
    </row>
    <row r="33" spans="1:7" ht="362.5" x14ac:dyDescent="0.35">
      <c r="A33">
        <v>29</v>
      </c>
      <c r="B33" t="s">
        <v>49</v>
      </c>
      <c r="C33" t="s">
        <v>53</v>
      </c>
      <c r="F33" s="1" t="s">
        <v>172</v>
      </c>
      <c r="G33">
        <v>2</v>
      </c>
    </row>
    <row r="34" spans="1:7" ht="348" x14ac:dyDescent="0.35">
      <c r="A34">
        <v>30</v>
      </c>
      <c r="B34" t="s">
        <v>49</v>
      </c>
      <c r="C34" t="s">
        <v>54</v>
      </c>
      <c r="F34" s="1" t="s">
        <v>173</v>
      </c>
      <c r="G34">
        <v>2</v>
      </c>
    </row>
    <row r="35" spans="1:7" ht="409.5" x14ac:dyDescent="0.35">
      <c r="A35">
        <v>31</v>
      </c>
      <c r="B35" t="s">
        <v>21</v>
      </c>
      <c r="C35" t="s">
        <v>143</v>
      </c>
      <c r="F35" s="1" t="s">
        <v>175</v>
      </c>
      <c r="G35">
        <v>2</v>
      </c>
    </row>
    <row r="36" spans="1:7" x14ac:dyDescent="0.35">
      <c r="A36">
        <v>32</v>
      </c>
      <c r="B36" t="s">
        <v>32</v>
      </c>
      <c r="C36" t="s">
        <v>144</v>
      </c>
      <c r="F36" s="1" t="s">
        <v>142</v>
      </c>
      <c r="G36">
        <v>0</v>
      </c>
    </row>
    <row r="37" spans="1:7" ht="290" x14ac:dyDescent="0.35">
      <c r="A37">
        <v>33</v>
      </c>
      <c r="B37" t="s">
        <v>32</v>
      </c>
      <c r="C37" t="s">
        <v>145</v>
      </c>
      <c r="F37" s="1" t="s">
        <v>152</v>
      </c>
      <c r="G37">
        <v>1</v>
      </c>
    </row>
    <row r="38" spans="1:7" x14ac:dyDescent="0.35">
      <c r="A38">
        <v>34</v>
      </c>
      <c r="B38" t="s">
        <v>32</v>
      </c>
      <c r="C38" t="s">
        <v>146</v>
      </c>
      <c r="F38" s="1" t="s">
        <v>142</v>
      </c>
      <c r="G38">
        <v>0</v>
      </c>
    </row>
    <row r="39" spans="1:7" ht="232" x14ac:dyDescent="0.35">
      <c r="A39">
        <v>35</v>
      </c>
      <c r="B39" t="s">
        <v>43</v>
      </c>
      <c r="C39" t="s">
        <v>147</v>
      </c>
      <c r="F39" s="1" t="s">
        <v>174</v>
      </c>
      <c r="G39">
        <v>2</v>
      </c>
    </row>
    <row r="40" spans="1:7" x14ac:dyDescent="0.35">
      <c r="A40">
        <v>36</v>
      </c>
      <c r="B40" t="s">
        <v>43</v>
      </c>
      <c r="C40" t="s">
        <v>148</v>
      </c>
      <c r="F40" s="1" t="s">
        <v>142</v>
      </c>
      <c r="G40">
        <v>0</v>
      </c>
    </row>
    <row r="41" spans="1:7" ht="409.5" x14ac:dyDescent="0.35">
      <c r="A41">
        <v>37</v>
      </c>
      <c r="B41" t="s">
        <v>49</v>
      </c>
      <c r="C41" t="s">
        <v>149</v>
      </c>
      <c r="F41" s="1" t="s">
        <v>176</v>
      </c>
      <c r="G41">
        <v>2</v>
      </c>
    </row>
    <row r="42" spans="1:7" ht="333.5" x14ac:dyDescent="0.35">
      <c r="A42">
        <v>38</v>
      </c>
      <c r="B42" t="s">
        <v>49</v>
      </c>
      <c r="C42" t="s">
        <v>150</v>
      </c>
      <c r="F42" s="1" t="s">
        <v>177</v>
      </c>
      <c r="G42">
        <v>2</v>
      </c>
    </row>
    <row r="43" spans="1:7" x14ac:dyDescent="0.35">
      <c r="G43">
        <f>SUM(G5:G42)</f>
        <v>52</v>
      </c>
    </row>
  </sheetData>
  <conditionalFormatting sqref="E5:E34 G5:G42">
    <cfRule type="colorScale" priority="1">
      <colorScale>
        <cfvo type="num" val="0"/>
        <cfvo type="num" val="1"/>
        <cfvo type="num" val="2"/>
        <color rgb="FFFF6347"/>
        <color rgb="FFFFF59D"/>
        <color rgb="FF81C784"/>
      </colorScale>
    </cfRule>
  </conditionalFormatting>
  <dataValidations count="2">
    <dataValidation type="list" allowBlank="1" showInputMessage="1" showErrorMessage="1" sqref="D5:D34" xr:uid="{06728FBD-1CC8-404F-83BC-3035334F865B}">
      <formula1>"Y,N"</formula1>
    </dataValidation>
    <dataValidation type="list" allowBlank="1" showInputMessage="1" showErrorMessage="1" sqref="E5:E34 G5:G27 G29:G34" xr:uid="{869BC640-9CDD-4334-89C7-15E38A504215}">
      <formula1>"0,1,2"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48CF7-A118-40F9-95B9-01A3F0F77EF3}">
  <dimension ref="A2:H43"/>
  <sheetViews>
    <sheetView topLeftCell="B12" zoomScale="70" zoomScaleNormal="70" workbookViewId="0">
      <selection activeCell="H6" sqref="H6"/>
    </sheetView>
  </sheetViews>
  <sheetFormatPr defaultRowHeight="14.5" x14ac:dyDescent="0.35"/>
  <cols>
    <col min="1" max="1" width="22.1796875" customWidth="1"/>
    <col min="2" max="2" width="33.26953125" customWidth="1"/>
    <col min="3" max="3" width="90.26953125" customWidth="1"/>
    <col min="4" max="4" width="32.26953125" customWidth="1"/>
    <col min="5" max="5" width="29.81640625" customWidth="1"/>
    <col min="6" max="6" width="26.54296875" style="1" customWidth="1"/>
    <col min="7" max="9" width="41" customWidth="1"/>
  </cols>
  <sheetData>
    <row r="2" spans="1:8" ht="174" x14ac:dyDescent="0.35">
      <c r="A2" t="s">
        <v>56</v>
      </c>
      <c r="B2" s="1" t="s">
        <v>178</v>
      </c>
    </row>
    <row r="4" spans="1:8" x14ac:dyDescent="0.35">
      <c r="A4" t="s">
        <v>16</v>
      </c>
      <c r="B4" t="s">
        <v>17</v>
      </c>
      <c r="C4" t="s">
        <v>18</v>
      </c>
      <c r="D4" t="s">
        <v>57</v>
      </c>
      <c r="E4" t="s">
        <v>58</v>
      </c>
      <c r="F4" s="1" t="s">
        <v>59</v>
      </c>
      <c r="G4" t="s">
        <v>60</v>
      </c>
      <c r="H4" t="s">
        <v>61</v>
      </c>
    </row>
    <row r="5" spans="1:8" x14ac:dyDescent="0.35">
      <c r="A5">
        <v>1</v>
      </c>
      <c r="B5" t="s">
        <v>21</v>
      </c>
      <c r="C5" t="s">
        <v>22</v>
      </c>
      <c r="F5" s="1" t="s">
        <v>142</v>
      </c>
      <c r="G5">
        <v>0</v>
      </c>
    </row>
    <row r="6" spans="1:8" ht="174" x14ac:dyDescent="0.35">
      <c r="A6">
        <v>2</v>
      </c>
      <c r="B6" t="s">
        <v>21</v>
      </c>
      <c r="C6" t="s">
        <v>23</v>
      </c>
      <c r="F6" s="1" t="s">
        <v>181</v>
      </c>
      <c r="G6">
        <v>1</v>
      </c>
    </row>
    <row r="7" spans="1:8" x14ac:dyDescent="0.35">
      <c r="A7">
        <v>3</v>
      </c>
      <c r="B7" t="s">
        <v>21</v>
      </c>
      <c r="C7" t="s">
        <v>24</v>
      </c>
      <c r="F7" s="1">
        <v>1985</v>
      </c>
      <c r="G7">
        <v>2</v>
      </c>
    </row>
    <row r="8" spans="1:8" ht="304.5" x14ac:dyDescent="0.35">
      <c r="A8">
        <v>4</v>
      </c>
      <c r="B8" t="s">
        <v>21</v>
      </c>
      <c r="C8" t="s">
        <v>25</v>
      </c>
      <c r="F8" s="1" t="s">
        <v>182</v>
      </c>
      <c r="G8">
        <v>2</v>
      </c>
    </row>
    <row r="9" spans="1:8" ht="290" x14ac:dyDescent="0.35">
      <c r="A9">
        <v>5</v>
      </c>
      <c r="B9" t="s">
        <v>21</v>
      </c>
      <c r="C9" t="s">
        <v>26</v>
      </c>
      <c r="F9" s="1" t="s">
        <v>122</v>
      </c>
      <c r="G9">
        <v>2</v>
      </c>
    </row>
    <row r="10" spans="1:8" x14ac:dyDescent="0.35">
      <c r="A10">
        <v>6</v>
      </c>
      <c r="B10" t="s">
        <v>21</v>
      </c>
      <c r="C10" t="s">
        <v>27</v>
      </c>
      <c r="F10" s="1" t="s">
        <v>142</v>
      </c>
      <c r="G10">
        <v>0</v>
      </c>
    </row>
    <row r="11" spans="1:8" ht="261" x14ac:dyDescent="0.35">
      <c r="A11">
        <v>7</v>
      </c>
      <c r="B11" t="s">
        <v>21</v>
      </c>
      <c r="C11" t="s">
        <v>28</v>
      </c>
      <c r="F11" s="1" t="s">
        <v>183</v>
      </c>
      <c r="G11">
        <v>2</v>
      </c>
    </row>
    <row r="12" spans="1:8" ht="409.5" x14ac:dyDescent="0.35">
      <c r="A12">
        <v>8</v>
      </c>
      <c r="B12" t="s">
        <v>21</v>
      </c>
      <c r="C12" t="s">
        <v>29</v>
      </c>
      <c r="F12" s="1" t="s">
        <v>184</v>
      </c>
      <c r="G12">
        <v>2</v>
      </c>
    </row>
    <row r="13" spans="1:8" ht="409.5" x14ac:dyDescent="0.35">
      <c r="A13">
        <v>9</v>
      </c>
      <c r="B13" t="s">
        <v>21</v>
      </c>
      <c r="C13" t="s">
        <v>62</v>
      </c>
      <c r="F13" s="1" t="s">
        <v>185</v>
      </c>
      <c r="G13">
        <v>2</v>
      </c>
    </row>
    <row r="14" spans="1:8" ht="333.5" x14ac:dyDescent="0.35">
      <c r="A14">
        <v>10</v>
      </c>
      <c r="B14" t="s">
        <v>21</v>
      </c>
      <c r="C14" t="s">
        <v>31</v>
      </c>
      <c r="F14" s="1" t="s">
        <v>186</v>
      </c>
      <c r="G14">
        <v>2</v>
      </c>
    </row>
    <row r="15" spans="1:8" ht="145" x14ac:dyDescent="0.35">
      <c r="A15">
        <v>11</v>
      </c>
      <c r="B15" t="s">
        <v>32</v>
      </c>
      <c r="C15" t="s">
        <v>33</v>
      </c>
      <c r="F15" s="1" t="s">
        <v>187</v>
      </c>
      <c r="G15">
        <v>1</v>
      </c>
    </row>
    <row r="16" spans="1:8" ht="29" x14ac:dyDescent="0.35">
      <c r="A16">
        <v>12</v>
      </c>
      <c r="B16" t="s">
        <v>32</v>
      </c>
      <c r="C16" t="s">
        <v>34</v>
      </c>
      <c r="F16" s="1" t="s">
        <v>127</v>
      </c>
      <c r="G16">
        <v>2</v>
      </c>
    </row>
    <row r="17" spans="1:7" ht="159.5" x14ac:dyDescent="0.35">
      <c r="A17">
        <v>13</v>
      </c>
      <c r="B17" t="s">
        <v>32</v>
      </c>
      <c r="C17" t="s">
        <v>35</v>
      </c>
      <c r="F17" s="1" t="s">
        <v>188</v>
      </c>
      <c r="G17">
        <v>1</v>
      </c>
    </row>
    <row r="18" spans="1:7" ht="159.5" x14ac:dyDescent="0.35">
      <c r="A18">
        <v>14</v>
      </c>
      <c r="B18" t="s">
        <v>32</v>
      </c>
      <c r="C18" t="s">
        <v>36</v>
      </c>
      <c r="F18" s="1" t="s">
        <v>189</v>
      </c>
      <c r="G18">
        <v>1</v>
      </c>
    </row>
    <row r="19" spans="1:7" ht="275.5" x14ac:dyDescent="0.35">
      <c r="A19">
        <v>15</v>
      </c>
      <c r="B19" t="s">
        <v>32</v>
      </c>
      <c r="C19" t="s">
        <v>37</v>
      </c>
      <c r="F19" s="1" t="s">
        <v>190</v>
      </c>
      <c r="G19">
        <v>2</v>
      </c>
    </row>
    <row r="20" spans="1:7" ht="232" x14ac:dyDescent="0.35">
      <c r="A20">
        <v>16</v>
      </c>
      <c r="B20" t="s">
        <v>32</v>
      </c>
      <c r="C20" t="s">
        <v>38</v>
      </c>
      <c r="F20" s="1" t="s">
        <v>191</v>
      </c>
      <c r="G20">
        <v>2</v>
      </c>
    </row>
    <row r="21" spans="1:7" ht="43.5" x14ac:dyDescent="0.35">
      <c r="A21">
        <v>17</v>
      </c>
      <c r="B21" t="s">
        <v>32</v>
      </c>
      <c r="C21" t="s">
        <v>39</v>
      </c>
      <c r="F21" s="1" t="s">
        <v>192</v>
      </c>
      <c r="G21">
        <v>2</v>
      </c>
    </row>
    <row r="22" spans="1:7" ht="58" x14ac:dyDescent="0.35">
      <c r="A22">
        <v>18</v>
      </c>
      <c r="B22" t="s">
        <v>32</v>
      </c>
      <c r="C22" t="s">
        <v>40</v>
      </c>
      <c r="F22" s="1" t="s">
        <v>193</v>
      </c>
      <c r="G22">
        <v>2</v>
      </c>
    </row>
    <row r="23" spans="1:7" x14ac:dyDescent="0.35">
      <c r="A23">
        <v>19</v>
      </c>
      <c r="B23" t="s">
        <v>32</v>
      </c>
      <c r="C23" t="s">
        <v>41</v>
      </c>
      <c r="F23" s="1" t="s">
        <v>142</v>
      </c>
      <c r="G23">
        <v>0</v>
      </c>
    </row>
    <row r="24" spans="1:7" ht="43.5" x14ac:dyDescent="0.35">
      <c r="A24">
        <v>20</v>
      </c>
      <c r="B24" t="s">
        <v>32</v>
      </c>
      <c r="C24" t="s">
        <v>42</v>
      </c>
      <c r="F24" s="1" t="s">
        <v>135</v>
      </c>
      <c r="G24">
        <v>2</v>
      </c>
    </row>
    <row r="25" spans="1:7" x14ac:dyDescent="0.35">
      <c r="A25">
        <v>21</v>
      </c>
      <c r="B25" t="s">
        <v>43</v>
      </c>
      <c r="C25" t="s">
        <v>44</v>
      </c>
      <c r="F25" s="1">
        <v>2019</v>
      </c>
      <c r="G25">
        <v>2</v>
      </c>
    </row>
    <row r="26" spans="1:7" x14ac:dyDescent="0.35">
      <c r="A26">
        <v>22</v>
      </c>
      <c r="B26" t="s">
        <v>43</v>
      </c>
      <c r="C26" t="s">
        <v>45</v>
      </c>
      <c r="F26" s="2">
        <v>0.15</v>
      </c>
      <c r="G26">
        <v>2</v>
      </c>
    </row>
    <row r="27" spans="1:7" x14ac:dyDescent="0.35">
      <c r="A27">
        <v>23</v>
      </c>
      <c r="B27" t="s">
        <v>43</v>
      </c>
      <c r="C27" t="s">
        <v>46</v>
      </c>
      <c r="F27" s="1" t="s">
        <v>142</v>
      </c>
      <c r="G27">
        <v>0</v>
      </c>
    </row>
    <row r="28" spans="1:7" ht="58" x14ac:dyDescent="0.35">
      <c r="A28">
        <v>24</v>
      </c>
      <c r="B28" t="s">
        <v>43</v>
      </c>
      <c r="C28" t="s">
        <v>47</v>
      </c>
      <c r="F28" s="1" t="s">
        <v>194</v>
      </c>
      <c r="G28">
        <v>2</v>
      </c>
    </row>
    <row r="29" spans="1:7" ht="116" x14ac:dyDescent="0.35">
      <c r="A29">
        <v>25</v>
      </c>
      <c r="B29" t="s">
        <v>43</v>
      </c>
      <c r="C29" t="s">
        <v>48</v>
      </c>
      <c r="F29" s="1" t="s">
        <v>195</v>
      </c>
      <c r="G29">
        <v>2</v>
      </c>
    </row>
    <row r="30" spans="1:7" ht="246.5" x14ac:dyDescent="0.35">
      <c r="A30">
        <v>26</v>
      </c>
      <c r="B30" t="s">
        <v>49</v>
      </c>
      <c r="C30" t="s">
        <v>50</v>
      </c>
      <c r="F30" s="1" t="s">
        <v>138</v>
      </c>
      <c r="G30">
        <v>2</v>
      </c>
    </row>
    <row r="31" spans="1:7" ht="409.5" x14ac:dyDescent="0.35">
      <c r="A31">
        <v>27</v>
      </c>
      <c r="B31" t="s">
        <v>49</v>
      </c>
      <c r="C31" t="s">
        <v>51</v>
      </c>
      <c r="F31" s="1" t="s">
        <v>196</v>
      </c>
      <c r="G31">
        <v>2</v>
      </c>
    </row>
    <row r="32" spans="1:7" ht="377" x14ac:dyDescent="0.35">
      <c r="A32">
        <v>28</v>
      </c>
      <c r="B32" t="s">
        <v>49</v>
      </c>
      <c r="C32" t="s">
        <v>52</v>
      </c>
      <c r="F32" s="1" t="s">
        <v>197</v>
      </c>
      <c r="G32">
        <v>2</v>
      </c>
    </row>
    <row r="33" spans="1:7" ht="409.5" x14ac:dyDescent="0.35">
      <c r="A33">
        <v>29</v>
      </c>
      <c r="B33" t="s">
        <v>49</v>
      </c>
      <c r="C33" t="s">
        <v>53</v>
      </c>
      <c r="F33" s="1" t="s">
        <v>198</v>
      </c>
      <c r="G33">
        <v>2</v>
      </c>
    </row>
    <row r="34" spans="1:7" ht="409.5" x14ac:dyDescent="0.35">
      <c r="A34">
        <v>30</v>
      </c>
      <c r="B34" t="s">
        <v>49</v>
      </c>
      <c r="C34" t="s">
        <v>54</v>
      </c>
      <c r="F34" s="1" t="s">
        <v>199</v>
      </c>
      <c r="G34">
        <v>2</v>
      </c>
    </row>
    <row r="35" spans="1:7" ht="409.5" x14ac:dyDescent="0.35">
      <c r="A35">
        <v>31</v>
      </c>
      <c r="B35" t="s">
        <v>21</v>
      </c>
      <c r="C35" t="s">
        <v>143</v>
      </c>
      <c r="F35" s="1" t="s">
        <v>200</v>
      </c>
      <c r="G35">
        <v>2</v>
      </c>
    </row>
    <row r="36" spans="1:7" x14ac:dyDescent="0.35">
      <c r="A36">
        <v>32</v>
      </c>
      <c r="B36" t="s">
        <v>32</v>
      </c>
      <c r="C36" t="s">
        <v>144</v>
      </c>
      <c r="F36" s="1" t="s">
        <v>142</v>
      </c>
      <c r="G36">
        <v>0</v>
      </c>
    </row>
    <row r="37" spans="1:7" ht="290" x14ac:dyDescent="0.35">
      <c r="A37">
        <v>33</v>
      </c>
      <c r="B37" t="s">
        <v>32</v>
      </c>
      <c r="C37" t="s">
        <v>145</v>
      </c>
      <c r="F37" s="1" t="s">
        <v>152</v>
      </c>
      <c r="G37">
        <v>1</v>
      </c>
    </row>
    <row r="38" spans="1:7" ht="145" x14ac:dyDescent="0.35">
      <c r="A38">
        <v>34</v>
      </c>
      <c r="B38" t="s">
        <v>32</v>
      </c>
      <c r="C38" t="s">
        <v>146</v>
      </c>
      <c r="F38" s="1" t="s">
        <v>201</v>
      </c>
      <c r="G38">
        <v>1</v>
      </c>
    </row>
    <row r="39" spans="1:7" ht="333.5" x14ac:dyDescent="0.35">
      <c r="A39">
        <v>35</v>
      </c>
      <c r="B39" t="s">
        <v>43</v>
      </c>
      <c r="C39" t="s">
        <v>147</v>
      </c>
      <c r="F39" s="1" t="s">
        <v>202</v>
      </c>
      <c r="G39">
        <v>2</v>
      </c>
    </row>
    <row r="40" spans="1:7" x14ac:dyDescent="0.35">
      <c r="A40">
        <v>36</v>
      </c>
      <c r="B40" t="s">
        <v>43</v>
      </c>
      <c r="C40" t="s">
        <v>148</v>
      </c>
      <c r="F40" s="1" t="s">
        <v>142</v>
      </c>
      <c r="G40">
        <v>0</v>
      </c>
    </row>
    <row r="41" spans="1:7" ht="319" x14ac:dyDescent="0.35">
      <c r="A41">
        <v>37</v>
      </c>
      <c r="B41" t="s">
        <v>49</v>
      </c>
      <c r="C41" t="s">
        <v>149</v>
      </c>
      <c r="F41" s="1" t="s">
        <v>203</v>
      </c>
      <c r="G41">
        <v>2</v>
      </c>
    </row>
    <row r="42" spans="1:7" ht="333.5" x14ac:dyDescent="0.35">
      <c r="A42">
        <v>38</v>
      </c>
      <c r="B42" t="s">
        <v>49</v>
      </c>
      <c r="C42" t="s">
        <v>150</v>
      </c>
      <c r="F42" s="1" t="s">
        <v>204</v>
      </c>
      <c r="G42">
        <v>2</v>
      </c>
    </row>
    <row r="43" spans="1:7" x14ac:dyDescent="0.35">
      <c r="G43">
        <f>SUM(G5:G42)</f>
        <v>58</v>
      </c>
    </row>
  </sheetData>
  <conditionalFormatting sqref="E5:E34">
    <cfRule type="colorScale" priority="1">
      <colorScale>
        <cfvo type="num" val="0"/>
        <cfvo type="num" val="1"/>
        <cfvo type="num" val="2"/>
        <color rgb="FFFF6347"/>
        <color rgb="FFFFF59D"/>
        <color rgb="FF81C784"/>
      </colorScale>
    </cfRule>
  </conditionalFormatting>
  <conditionalFormatting sqref="G5:G42">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D5:D34" xr:uid="{EA842815-6A43-493F-8E5C-01C03E131718}">
      <formula1>"Y,N"</formula1>
    </dataValidation>
    <dataValidation type="list" allowBlank="1" showInputMessage="1" showErrorMessage="1" sqref="E5:E34 G5:G42" xr:uid="{F79D727C-F285-4462-A938-4ECAF50CDC17}">
      <formula1>"0,1,2"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830B-502E-44D7-A2DA-AF6332191719}">
  <dimension ref="A2:H43"/>
  <sheetViews>
    <sheetView tabSelected="1" zoomScale="70" zoomScaleNormal="70" workbookViewId="0">
      <selection activeCell="C2" sqref="C2"/>
    </sheetView>
  </sheetViews>
  <sheetFormatPr defaultRowHeight="14.5" x14ac:dyDescent="0.35"/>
  <cols>
    <col min="1" max="1" width="22.1796875" customWidth="1"/>
    <col min="2" max="2" width="33.26953125" customWidth="1"/>
    <col min="3" max="3" width="90.26953125" customWidth="1"/>
    <col min="4" max="4" width="32.26953125" customWidth="1"/>
    <col min="5" max="5" width="29.81640625" customWidth="1"/>
    <col min="6" max="6" width="26.54296875" style="1" customWidth="1"/>
    <col min="7" max="9" width="41" customWidth="1"/>
  </cols>
  <sheetData>
    <row r="2" spans="1:8" ht="174" x14ac:dyDescent="0.35">
      <c r="A2" t="s">
        <v>56</v>
      </c>
      <c r="B2" s="1" t="s">
        <v>205</v>
      </c>
    </row>
    <row r="4" spans="1:8" x14ac:dyDescent="0.35">
      <c r="A4" t="s">
        <v>16</v>
      </c>
      <c r="B4" t="s">
        <v>17</v>
      </c>
      <c r="C4" t="s">
        <v>18</v>
      </c>
      <c r="D4" t="s">
        <v>57</v>
      </c>
      <c r="E4" t="s">
        <v>58</v>
      </c>
      <c r="F4" s="1" t="s">
        <v>59</v>
      </c>
      <c r="G4" t="s">
        <v>60</v>
      </c>
      <c r="H4" t="s">
        <v>61</v>
      </c>
    </row>
    <row r="5" spans="1:8" x14ac:dyDescent="0.35">
      <c r="A5">
        <v>1</v>
      </c>
      <c r="B5" t="s">
        <v>21</v>
      </c>
      <c r="C5" t="s">
        <v>22</v>
      </c>
      <c r="F5" s="1" t="s">
        <v>142</v>
      </c>
      <c r="G5">
        <v>0</v>
      </c>
    </row>
    <row r="6" spans="1:8" ht="174" x14ac:dyDescent="0.35">
      <c r="A6">
        <v>2</v>
      </c>
      <c r="B6" t="s">
        <v>21</v>
      </c>
      <c r="C6" t="s">
        <v>23</v>
      </c>
      <c r="F6" s="1" t="s">
        <v>181</v>
      </c>
      <c r="G6">
        <v>1</v>
      </c>
    </row>
    <row r="7" spans="1:8" x14ac:dyDescent="0.35">
      <c r="A7">
        <v>3</v>
      </c>
      <c r="B7" t="s">
        <v>21</v>
      </c>
      <c r="C7" t="s">
        <v>24</v>
      </c>
      <c r="F7" s="1">
        <v>1985</v>
      </c>
      <c r="G7">
        <v>2</v>
      </c>
    </row>
    <row r="8" spans="1:8" ht="304.5" x14ac:dyDescent="0.35">
      <c r="A8">
        <v>4</v>
      </c>
      <c r="B8" t="s">
        <v>21</v>
      </c>
      <c r="C8" t="s">
        <v>25</v>
      </c>
      <c r="F8" s="1" t="s">
        <v>182</v>
      </c>
      <c r="G8">
        <v>2</v>
      </c>
    </row>
    <row r="9" spans="1:8" ht="290" x14ac:dyDescent="0.35">
      <c r="A9">
        <v>5</v>
      </c>
      <c r="B9" t="s">
        <v>21</v>
      </c>
      <c r="C9" t="s">
        <v>26</v>
      </c>
      <c r="F9" s="1" t="s">
        <v>122</v>
      </c>
      <c r="G9">
        <v>2</v>
      </c>
    </row>
    <row r="10" spans="1:8" x14ac:dyDescent="0.35">
      <c r="A10">
        <v>6</v>
      </c>
      <c r="B10" t="s">
        <v>21</v>
      </c>
      <c r="C10" t="s">
        <v>27</v>
      </c>
      <c r="F10" s="1" t="s">
        <v>142</v>
      </c>
      <c r="G10">
        <v>0</v>
      </c>
    </row>
    <row r="11" spans="1:8" ht="261" x14ac:dyDescent="0.35">
      <c r="A11">
        <v>7</v>
      </c>
      <c r="B11" t="s">
        <v>21</v>
      </c>
      <c r="C11" t="s">
        <v>28</v>
      </c>
      <c r="F11" s="1" t="s">
        <v>183</v>
      </c>
      <c r="G11">
        <v>2</v>
      </c>
    </row>
    <row r="12" spans="1:8" ht="409.5" x14ac:dyDescent="0.35">
      <c r="A12">
        <v>8</v>
      </c>
      <c r="B12" t="s">
        <v>21</v>
      </c>
      <c r="C12" t="s">
        <v>29</v>
      </c>
      <c r="F12" s="1" t="s">
        <v>184</v>
      </c>
      <c r="G12">
        <v>2</v>
      </c>
    </row>
    <row r="13" spans="1:8" ht="409.5" x14ac:dyDescent="0.35">
      <c r="A13">
        <v>9</v>
      </c>
      <c r="B13" t="s">
        <v>21</v>
      </c>
      <c r="C13" t="s">
        <v>62</v>
      </c>
      <c r="F13" s="1" t="s">
        <v>185</v>
      </c>
      <c r="G13">
        <v>2</v>
      </c>
    </row>
    <row r="14" spans="1:8" ht="333.5" x14ac:dyDescent="0.35">
      <c r="A14">
        <v>10</v>
      </c>
      <c r="B14" t="s">
        <v>21</v>
      </c>
      <c r="C14" t="s">
        <v>31</v>
      </c>
      <c r="F14" s="1" t="s">
        <v>186</v>
      </c>
      <c r="G14">
        <v>2</v>
      </c>
    </row>
    <row r="15" spans="1:8" ht="145" x14ac:dyDescent="0.35">
      <c r="A15">
        <v>11</v>
      </c>
      <c r="B15" t="s">
        <v>32</v>
      </c>
      <c r="C15" t="s">
        <v>33</v>
      </c>
      <c r="F15" s="1" t="s">
        <v>187</v>
      </c>
      <c r="G15">
        <v>1</v>
      </c>
    </row>
    <row r="16" spans="1:8" ht="29" x14ac:dyDescent="0.35">
      <c r="A16">
        <v>12</v>
      </c>
      <c r="B16" t="s">
        <v>32</v>
      </c>
      <c r="C16" t="s">
        <v>34</v>
      </c>
      <c r="F16" s="1" t="s">
        <v>127</v>
      </c>
      <c r="G16">
        <v>2</v>
      </c>
    </row>
    <row r="17" spans="1:7" ht="159.5" x14ac:dyDescent="0.35">
      <c r="A17">
        <v>13</v>
      </c>
      <c r="B17" t="s">
        <v>32</v>
      </c>
      <c r="C17" t="s">
        <v>35</v>
      </c>
      <c r="F17" s="1" t="s">
        <v>188</v>
      </c>
      <c r="G17">
        <v>1</v>
      </c>
    </row>
    <row r="18" spans="1:7" ht="159.5" x14ac:dyDescent="0.35">
      <c r="A18">
        <v>14</v>
      </c>
      <c r="B18" t="s">
        <v>32</v>
      </c>
      <c r="C18" t="s">
        <v>36</v>
      </c>
      <c r="F18" s="1" t="s">
        <v>189</v>
      </c>
      <c r="G18">
        <v>1</v>
      </c>
    </row>
    <row r="19" spans="1:7" ht="275.5" x14ac:dyDescent="0.35">
      <c r="A19">
        <v>15</v>
      </c>
      <c r="B19" t="s">
        <v>32</v>
      </c>
      <c r="C19" t="s">
        <v>37</v>
      </c>
      <c r="F19" s="1" t="s">
        <v>190</v>
      </c>
      <c r="G19">
        <v>2</v>
      </c>
    </row>
    <row r="20" spans="1:7" ht="232" x14ac:dyDescent="0.35">
      <c r="A20">
        <v>16</v>
      </c>
      <c r="B20" t="s">
        <v>32</v>
      </c>
      <c r="C20" t="s">
        <v>38</v>
      </c>
      <c r="F20" s="1" t="s">
        <v>191</v>
      </c>
      <c r="G20">
        <v>2</v>
      </c>
    </row>
    <row r="21" spans="1:7" ht="43.5" x14ac:dyDescent="0.35">
      <c r="A21">
        <v>17</v>
      </c>
      <c r="B21" t="s">
        <v>32</v>
      </c>
      <c r="C21" t="s">
        <v>39</v>
      </c>
      <c r="F21" s="1" t="s">
        <v>192</v>
      </c>
      <c r="G21">
        <v>2</v>
      </c>
    </row>
    <row r="22" spans="1:7" ht="58" x14ac:dyDescent="0.35">
      <c r="A22">
        <v>18</v>
      </c>
      <c r="B22" t="s">
        <v>32</v>
      </c>
      <c r="C22" t="s">
        <v>40</v>
      </c>
      <c r="F22" s="1" t="s">
        <v>193</v>
      </c>
      <c r="G22">
        <v>2</v>
      </c>
    </row>
    <row r="23" spans="1:7" x14ac:dyDescent="0.35">
      <c r="A23">
        <v>19</v>
      </c>
      <c r="B23" t="s">
        <v>32</v>
      </c>
      <c r="C23" t="s">
        <v>41</v>
      </c>
      <c r="F23" s="1" t="s">
        <v>142</v>
      </c>
      <c r="G23">
        <v>0</v>
      </c>
    </row>
    <row r="24" spans="1:7" ht="43.5" x14ac:dyDescent="0.35">
      <c r="A24">
        <v>20</v>
      </c>
      <c r="B24" t="s">
        <v>32</v>
      </c>
      <c r="C24" t="s">
        <v>42</v>
      </c>
      <c r="F24" s="1" t="s">
        <v>135</v>
      </c>
      <c r="G24">
        <v>2</v>
      </c>
    </row>
    <row r="25" spans="1:7" x14ac:dyDescent="0.35">
      <c r="A25">
        <v>21</v>
      </c>
      <c r="B25" t="s">
        <v>43</v>
      </c>
      <c r="C25" t="s">
        <v>44</v>
      </c>
      <c r="F25" s="1">
        <v>2019</v>
      </c>
      <c r="G25">
        <v>2</v>
      </c>
    </row>
    <row r="26" spans="1:7" x14ac:dyDescent="0.35">
      <c r="A26">
        <v>22</v>
      </c>
      <c r="B26" t="s">
        <v>43</v>
      </c>
      <c r="C26" t="s">
        <v>45</v>
      </c>
      <c r="F26" s="2">
        <v>0.15</v>
      </c>
      <c r="G26">
        <v>2</v>
      </c>
    </row>
    <row r="27" spans="1:7" x14ac:dyDescent="0.35">
      <c r="A27">
        <v>23</v>
      </c>
      <c r="B27" t="s">
        <v>43</v>
      </c>
      <c r="C27" t="s">
        <v>46</v>
      </c>
      <c r="F27" s="1" t="s">
        <v>142</v>
      </c>
      <c r="G27">
        <v>0</v>
      </c>
    </row>
    <row r="28" spans="1:7" ht="58" x14ac:dyDescent="0.35">
      <c r="A28">
        <v>24</v>
      </c>
      <c r="B28" t="s">
        <v>43</v>
      </c>
      <c r="C28" t="s">
        <v>47</v>
      </c>
      <c r="F28" s="1" t="s">
        <v>194</v>
      </c>
      <c r="G28">
        <v>2</v>
      </c>
    </row>
    <row r="29" spans="1:7" ht="116" x14ac:dyDescent="0.35">
      <c r="A29">
        <v>25</v>
      </c>
      <c r="B29" t="s">
        <v>43</v>
      </c>
      <c r="C29" t="s">
        <v>48</v>
      </c>
      <c r="F29" s="1" t="s">
        <v>195</v>
      </c>
      <c r="G29">
        <v>2</v>
      </c>
    </row>
    <row r="30" spans="1:7" ht="246.5" x14ac:dyDescent="0.35">
      <c r="A30">
        <v>26</v>
      </c>
      <c r="B30" t="s">
        <v>49</v>
      </c>
      <c r="C30" t="s">
        <v>50</v>
      </c>
      <c r="F30" s="1" t="s">
        <v>138</v>
      </c>
      <c r="G30">
        <v>2</v>
      </c>
    </row>
    <row r="31" spans="1:7" ht="409.5" x14ac:dyDescent="0.35">
      <c r="A31">
        <v>27</v>
      </c>
      <c r="B31" t="s">
        <v>49</v>
      </c>
      <c r="C31" t="s">
        <v>51</v>
      </c>
      <c r="F31" s="1" t="s">
        <v>196</v>
      </c>
      <c r="G31">
        <v>2</v>
      </c>
    </row>
    <row r="32" spans="1:7" ht="377" x14ac:dyDescent="0.35">
      <c r="A32">
        <v>28</v>
      </c>
      <c r="B32" t="s">
        <v>49</v>
      </c>
      <c r="C32" t="s">
        <v>52</v>
      </c>
      <c r="F32" s="1" t="s">
        <v>197</v>
      </c>
      <c r="G32">
        <v>2</v>
      </c>
    </row>
    <row r="33" spans="1:7" ht="409.5" x14ac:dyDescent="0.35">
      <c r="A33">
        <v>29</v>
      </c>
      <c r="B33" t="s">
        <v>49</v>
      </c>
      <c r="C33" t="s">
        <v>53</v>
      </c>
      <c r="F33" s="1" t="s">
        <v>198</v>
      </c>
      <c r="G33">
        <v>2</v>
      </c>
    </row>
    <row r="34" spans="1:7" ht="409.5" x14ac:dyDescent="0.35">
      <c r="A34">
        <v>30</v>
      </c>
      <c r="B34" t="s">
        <v>49</v>
      </c>
      <c r="C34" t="s">
        <v>54</v>
      </c>
      <c r="F34" s="1" t="s">
        <v>199</v>
      </c>
      <c r="G34">
        <v>2</v>
      </c>
    </row>
    <row r="35" spans="1:7" ht="409.5" x14ac:dyDescent="0.35">
      <c r="A35">
        <v>31</v>
      </c>
      <c r="B35" t="s">
        <v>21</v>
      </c>
      <c r="C35" t="s">
        <v>143</v>
      </c>
      <c r="F35" s="1" t="s">
        <v>200</v>
      </c>
      <c r="G35">
        <v>2</v>
      </c>
    </row>
    <row r="36" spans="1:7" x14ac:dyDescent="0.35">
      <c r="A36">
        <v>32</v>
      </c>
      <c r="B36" t="s">
        <v>32</v>
      </c>
      <c r="C36" t="s">
        <v>144</v>
      </c>
      <c r="F36" s="1" t="s">
        <v>142</v>
      </c>
      <c r="G36">
        <v>0</v>
      </c>
    </row>
    <row r="37" spans="1:7" ht="290" x14ac:dyDescent="0.35">
      <c r="A37">
        <v>33</v>
      </c>
      <c r="B37" t="s">
        <v>32</v>
      </c>
      <c r="C37" t="s">
        <v>145</v>
      </c>
      <c r="F37" s="1" t="s">
        <v>152</v>
      </c>
      <c r="G37">
        <v>1</v>
      </c>
    </row>
    <row r="38" spans="1:7" ht="145" x14ac:dyDescent="0.35">
      <c r="A38">
        <v>34</v>
      </c>
      <c r="B38" t="s">
        <v>32</v>
      </c>
      <c r="C38" t="s">
        <v>146</v>
      </c>
      <c r="F38" s="1" t="s">
        <v>201</v>
      </c>
      <c r="G38">
        <v>1</v>
      </c>
    </row>
    <row r="39" spans="1:7" ht="333.5" x14ac:dyDescent="0.35">
      <c r="A39">
        <v>35</v>
      </c>
      <c r="B39" t="s">
        <v>43</v>
      </c>
      <c r="C39" t="s">
        <v>147</v>
      </c>
      <c r="F39" s="1" t="s">
        <v>202</v>
      </c>
      <c r="G39">
        <v>2</v>
      </c>
    </row>
    <row r="40" spans="1:7" x14ac:dyDescent="0.35">
      <c r="A40">
        <v>36</v>
      </c>
      <c r="B40" t="s">
        <v>43</v>
      </c>
      <c r="C40" t="s">
        <v>148</v>
      </c>
      <c r="F40" s="1" t="s">
        <v>142</v>
      </c>
      <c r="G40">
        <v>0</v>
      </c>
    </row>
    <row r="41" spans="1:7" ht="319" x14ac:dyDescent="0.35">
      <c r="A41">
        <v>37</v>
      </c>
      <c r="B41" t="s">
        <v>49</v>
      </c>
      <c r="C41" t="s">
        <v>149</v>
      </c>
      <c r="F41" s="1" t="s">
        <v>203</v>
      </c>
      <c r="G41">
        <v>2</v>
      </c>
    </row>
    <row r="42" spans="1:7" ht="333.5" x14ac:dyDescent="0.35">
      <c r="A42">
        <v>38</v>
      </c>
      <c r="B42" t="s">
        <v>49</v>
      </c>
      <c r="C42" t="s">
        <v>150</v>
      </c>
      <c r="F42" s="1" t="s">
        <v>204</v>
      </c>
      <c r="G42">
        <v>2</v>
      </c>
    </row>
    <row r="43" spans="1:7" x14ac:dyDescent="0.35">
      <c r="G43">
        <f>SUM(G5:G42)</f>
        <v>58</v>
      </c>
    </row>
  </sheetData>
  <conditionalFormatting sqref="E5:E34">
    <cfRule type="colorScale" priority="1">
      <colorScale>
        <cfvo type="num" val="0"/>
        <cfvo type="num" val="1"/>
        <cfvo type="num" val="2"/>
        <color rgb="FFFF6347"/>
        <color rgb="FFFFF59D"/>
        <color rgb="FF81C784"/>
      </colorScale>
    </cfRule>
  </conditionalFormatting>
  <conditionalFormatting sqref="G5:G42">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E5:E34 G5:G42" xr:uid="{B3C63568-24A5-4213-9B7C-18FE471E635C}">
      <formula1>"0,1,2"</formula1>
    </dataValidation>
    <dataValidation type="list" allowBlank="1" showInputMessage="1" showErrorMessage="1" sqref="D5:D34" xr:uid="{C70D3066-3536-420A-8A7E-10DA7243A528}">
      <formula1>"Y,N"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7A0709C7E4034F9730662C83955827" ma:contentTypeVersion="9" ma:contentTypeDescription="Create a new document." ma:contentTypeScope="" ma:versionID="2a340845f4dfacc905c547fa3ef7bf25">
  <xsd:schema xmlns:xsd="http://www.w3.org/2001/XMLSchema" xmlns:xs="http://www.w3.org/2001/XMLSchema" xmlns:p="http://schemas.microsoft.com/office/2006/metadata/properties" xmlns:ns2="9fd2e45c-4d37-4fa6-a2bd-508f3d0c042d" targetNamespace="http://schemas.microsoft.com/office/2006/metadata/properties" ma:root="true" ma:fieldsID="bdfe8d45d66d69620af7b1c877e3cb1c" ns2:_="">
    <xsd:import namespace="9fd2e45c-4d37-4fa6-a2bd-508f3d0c04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d2e45c-4d37-4fa6-a2bd-508f3d0c04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54bec2-9c12-4dff-9bba-47e6622608a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fd2e45c-4d37-4fa6-a2bd-508f3d0c042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F14994-A7FA-42C9-B680-A8CE021FA9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d2e45c-4d37-4fa6-a2bd-508f3d0c04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588167-E3A9-4BD3-8EB6-FC300989CC62}">
  <ds:schemaRefs>
    <ds:schemaRef ds:uri="http://schemas.microsoft.com/office/2006/metadata/properties"/>
    <ds:schemaRef ds:uri="http://schemas.microsoft.com/office/infopath/2007/PartnerControls"/>
    <ds:schemaRef ds:uri="9fd2e45c-4d37-4fa6-a2bd-508f3d0c042d"/>
  </ds:schemaRefs>
</ds:datastoreItem>
</file>

<file path=customXml/itemProps3.xml><?xml version="1.0" encoding="utf-8"?>
<ds:datastoreItem xmlns:ds="http://schemas.openxmlformats.org/officeDocument/2006/customXml" ds:itemID="{D4AC7440-88AB-454F-8F4C-108DE229EA70}">
  <ds:schemaRefs>
    <ds:schemaRef ds:uri="http://schemas.microsoft.com/sharepoint/v3/contenttype/forms"/>
  </ds:schemaRefs>
</ds:datastoreItem>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Golden_Dataset</vt:lpstr>
      <vt:lpstr>Experiment 1 (baseline)</vt:lpstr>
      <vt:lpstr>Experiment 2</vt:lpstr>
      <vt:lpstr>Experiment 3</vt:lpstr>
      <vt:lpstr>Experiment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LUO CHENG NUO</cp:lastModifiedBy>
  <cp:revision/>
  <dcterms:created xsi:type="dcterms:W3CDTF">2025-12-01T02:48:28Z</dcterms:created>
  <dcterms:modified xsi:type="dcterms:W3CDTF">2026-01-12T01:22:49Z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0x010100677A0709C7E4034F9730662C83955827</vt:lpwstr>
  </property>
  <property fmtid="{D5CDD505-2E9C-101B-9397-08002B2CF9AE}" pid="3" name="MediaServiceImageTags">
    <vt:lpwstr/>
  </property>
</Properties>
</file>