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chelle\Downloads\FYP-YR3S2\"/>
    </mc:Choice>
  </mc:AlternateContent>
  <xr:revisionPtr revIDLastSave="0" documentId="13_ncr:1_{8EAF2C33-489A-495B-BA32-0E97CA28BE5B}" xr6:coauthVersionLast="47" xr6:coauthVersionMax="47" xr10:uidLastSave="{00000000-0000-0000-0000-000000000000}"/>
  <bookViews>
    <workbookView xWindow="-108" yWindow="-108" windowWidth="23256" windowHeight="12456" tabRatio="1000" firstSheet="3" activeTab="14" xr2:uid="{00000000-000D-0000-FFFF-FFFF00000000}"/>
  </bookViews>
  <sheets>
    <sheet name="Instructions" sheetId="2" r:id="rId1"/>
    <sheet name="Golden_Dataset" sheetId="1" r:id="rId2"/>
    <sheet name="Experiment 1 (baseline)" sheetId="3" r:id="rId3"/>
    <sheet name="Experiment 2" sheetId="4" r:id="rId4"/>
    <sheet name="Experiment 3" sheetId="5" r:id="rId5"/>
    <sheet name="Experiment 4 (First)" sheetId="6" r:id="rId6"/>
    <sheet name="Experiment 5" sheetId="8" r:id="rId7"/>
    <sheet name="Experiment 6 (Second)" sheetId="9" r:id="rId8"/>
    <sheet name="Experiment 7" sheetId="10" r:id="rId9"/>
    <sheet name="F-Exp 1" sheetId="11" r:id="rId10"/>
    <sheet name="F-Exp 2" sheetId="12" r:id="rId11"/>
    <sheet name="F-Exp 3" sheetId="13" r:id="rId12"/>
    <sheet name="F-Exp 4" sheetId="14" r:id="rId13"/>
    <sheet name="FC-Exp 1" sheetId="16" r:id="rId14"/>
    <sheet name="FC-Exp 2" sheetId="17"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7" l="1"/>
  <c r="G41" i="16"/>
  <c r="G41" i="14"/>
  <c r="G41" i="13"/>
  <c r="G41" i="12"/>
  <c r="G41" i="11"/>
  <c r="G41" i="10"/>
  <c r="G41" i="9"/>
  <c r="G41" i="8"/>
  <c r="G41" i="6"/>
  <c r="G41" i="5"/>
  <c r="G41" i="4"/>
  <c r="G4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tc={5DE4A2DE-48CB-4DE9-B7B7-1E342BE53084}</author>
  </authors>
  <commentList>
    <comment ref="D4" authorId="0" shapeId="0" xr:uid="{5DE4A2DE-48CB-4DE9-B7B7-1E342BE53084}">
      <text>
        <t>[Threaded comment]
Your version of Excel allows you to read this threaded comment; however, any edits to it will get removed if the file is opened in a newer version of Excel. Learn more: https://go.microsoft.com/fwlink/?linkid=870924
Comment:
    You can read and derive this, or send the file to leading models and have the model to provide the answers. But please manually check with the relevant pages to ensure grounding</t>
      </text>
    </comment>
  </commentList>
</comments>
</file>

<file path=xl/sharedStrings.xml><?xml version="1.0" encoding="utf-8"?>
<sst xmlns="http://schemas.openxmlformats.org/spreadsheetml/2006/main" count="1608" uniqueCount="260">
  <si>
    <t>Qn</t>
  </si>
  <si>
    <t>Category</t>
  </si>
  <si>
    <t>Question</t>
  </si>
  <si>
    <t>Expected Answer (Fill After Reading PDF)</t>
  </si>
  <si>
    <t>Source Page / Section</t>
  </si>
  <si>
    <t>Text</t>
  </si>
  <si>
    <t>Who is the CEO/Managing Director of the company?</t>
  </si>
  <si>
    <t>What is the company’s primary business activity?</t>
  </si>
  <si>
    <t>In which year was the company incorporated?</t>
  </si>
  <si>
    <t>What are the company’s three main business segments?</t>
  </si>
  <si>
    <t>Who is the Chairman of the Board?</t>
  </si>
  <si>
    <t>What is the company’s mission or vision statement?</t>
  </si>
  <si>
    <t>What were the key highlights mentioned in the Chairman’s statement?</t>
  </si>
  <si>
    <t>What major strategic priority was announced for the upcoming financial year?</t>
  </si>
  <si>
    <t>Table</t>
  </si>
  <si>
    <t>What is the total revenue for FY2023?</t>
  </si>
  <si>
    <t>What is the net profit after tax for FY2023?</t>
  </si>
  <si>
    <t>What is the Earnings Per Share (EPS) for FY2023?</t>
  </si>
  <si>
    <t>What is the Total Assets value for FY2023?</t>
  </si>
  <si>
    <t>What is the Total Equity attributable to shareholders?</t>
  </si>
  <si>
    <t>What is the Net Asset Value (NAV) per share?</t>
  </si>
  <si>
    <t>What is the debt-to-equity ratio listed in the Key Financial Ratios table?</t>
  </si>
  <si>
    <t>Which business segment contributed the highest revenue?</t>
  </si>
  <si>
    <t>What is the percentage increase/decrease in revenue compared to FY2022?</t>
  </si>
  <si>
    <t>What is the total dividend declared for the reporting year?</t>
  </si>
  <si>
    <t>Chart</t>
  </si>
  <si>
    <t>According to the revenue trend chart, which year recorded the highest revenue?</t>
  </si>
  <si>
    <t>Based on the profit margin chart, what is the approximate net profit margin for FY2023?</t>
  </si>
  <si>
    <t>From the segment revenue bar chart, which segment experienced the largest year-on-year growth?</t>
  </si>
  <si>
    <t>According to the geographical sales pie chart, which region contributes the largest share?</t>
  </si>
  <si>
    <t>Based on the cost breakdown chart, which cost category increased the most year-on-year?</t>
  </si>
  <si>
    <t>Summary</t>
  </si>
  <si>
    <t>Summarise the main points from the CEO’s message in three sentences.</t>
  </si>
  <si>
    <t>Summarise the company’s sustainability/ESG commitments for the reporting year.</t>
  </si>
  <si>
    <t>What key risks are highlighted in the Risk Management section?</t>
  </si>
  <si>
    <t>Summarise the business strategy outlined for the next 2–3 years.</t>
  </si>
  <si>
    <t>What operational achievements are described in the Operations Review section?</t>
  </si>
  <si>
    <t>Golden Dataset Instructions</t>
  </si>
  <si>
    <t>This sheet contains 30 standardised questions derived from the 3 selected annual reports.</t>
  </si>
  <si>
    <t>All students must use the SAME question set for RAG experiments.</t>
  </si>
  <si>
    <t>For each question:</t>
  </si>
  <si>
    <t>1. Read the PDFs and extract the correct answer exactly as written.</t>
  </si>
  <si>
    <t>2. Fill in the 'Expected Answer' column.</t>
  </si>
  <si>
    <t>3. Indicate the exact source page or section.</t>
  </si>
  <si>
    <t>4. Ensure all answers are consistent across the team.</t>
  </si>
  <si>
    <t>Categories:</t>
  </si>
  <si>
    <t>- Text: Extracted from plain text paragraphs</t>
  </si>
  <si>
    <t>- Table: Extracted from financial or performance tables</t>
  </si>
  <si>
    <t>- Chart: Inferred from charts, graphs, or visual data</t>
  </si>
  <si>
    <t>- Summary: Summaries of multi-paragraph sections</t>
  </si>
  <si>
    <t>This dataset will be the standard reference for ALL individual experiments.</t>
  </si>
  <si>
    <t>Name of Company</t>
  </si>
  <si>
    <t>Annual Report Year</t>
  </si>
  <si>
    <t>Retrieved Context (Y/N)</t>
  </si>
  <si>
    <t>Retrieval Score (0–2)</t>
  </si>
  <si>
    <t>LLM Answer</t>
  </si>
  <si>
    <t>LLM Score (0–2)</t>
  </si>
  <si>
    <t>Notes</t>
  </si>
  <si>
    <t>Experiment Setting</t>
  </si>
  <si>
    <t>Use the given notebook provided by Mr Ho. No changes</t>
  </si>
  <si>
    <t>Describe markets or regions does the company operate in?</t>
  </si>
  <si>
    <t>Who are the Broad Members and describe their responsibilities</t>
  </si>
  <si>
    <t>Who are the Broad Members and describe their responsibilities?</t>
  </si>
  <si>
    <t>Nil</t>
  </si>
  <si>
    <t>Singapura Finance</t>
  </si>
  <si>
    <t xml:space="preserve">Page 5 </t>
  </si>
  <si>
    <t>The principal activities of the Company are those relating to finance companies operating under the Finance Companies Act 1967.</t>
  </si>
  <si>
    <t>Page 86</t>
  </si>
  <si>
    <t>Page 40, 86</t>
  </si>
  <si>
    <t>The Chairman of the Board is Mrs. Yu-Foo Yee Shoon, who serves as the Non-Independent Non-Executive Chairman, effective from 29 February 2024.</t>
  </si>
  <si>
    <t>Page 2, 3</t>
  </si>
  <si>
    <t>Page 1</t>
  </si>
  <si>
    <t>The Board members as listed are: Mrs. Yu-Foo Yee Shoon, Mr. Jamie Teo Miang Yeow, Mdm. Tan Hui Keng, Martha, Mr. Lucas Tran Phuoc, Mr. William Ho Ah Seng, Mr. Teoh Eng Hong, Mr. Adam Tan Chin Han, Mr. Terence Khoo Chi Siang, Mr. Loh Ching Soo, and Dr. Christopher Teo Miang Chneh. Their responsibilities generally involve oversight of the company's affairs, collective governance, and serving on various board committees (Audit, Nominating, Remuneration, Risk Management, Executive, and Digitalisation).</t>
  </si>
  <si>
    <t>Page 5-9, 12, 73</t>
  </si>
  <si>
    <t>Page 9</t>
  </si>
  <si>
    <t>The Total income (revenue) for FY2023 is $22,937 thousand.</t>
  </si>
  <si>
    <t>The Profit after tax attributable to shareholders for FY2023 is $6,156 thousand.</t>
  </si>
  <si>
    <t>The Total equity for FY2023 is $253,276 thousand.</t>
  </si>
  <si>
    <t>Page 10</t>
  </si>
  <si>
    <t>Total income for FY2023 decreased by (14.98)% compared to FY2022.</t>
  </si>
  <si>
    <t>The total dividend declared for FY2023 is 3.00 cents per share (comprising a final dividend of 2.00 cents and a special dividend of 1.00 cent).</t>
  </si>
  <si>
    <t>Page 3, 13</t>
  </si>
  <si>
    <t>The CEO/Managing Director of the company is Mr. Jamie Teo Miang Yeow.</t>
  </si>
  <si>
    <t>The key risks highlighted in the Risk Management section are credit risk, market risk, liquidity risk, operational and technology risk, and compliance risk.</t>
  </si>
  <si>
    <t>The company's primary business activity involves finance companies operating under the Finance Companies Act 1967.</t>
  </si>
  <si>
    <t>The company operates in only one segment, which relates to financing business. All activities are carried out in the Republic of Singapore.</t>
  </si>
  <si>
    <t>The text does not explicitly state the name of the Chairman of the Board. However, it mentions that the Chairman of the Company is an immediate family member of the CEO, Mr Jamie Teo Miang Yeow. Therefore, we can infer that the Chairman of the Board is likely Mr Jamie Teo Miang Yeow's father.</t>
  </si>
  <si>
    <t>The company's mission or vision statement is not explicitly stated in the provided text. However, it can be inferred that Singapura Finance aims to empower its customers by providing them with product literature, assisting them in making informed decisions, understanding their needs, and packaging practical deals to suit their lifestyle and fulfill their dreams. They strive to bring their customers' visions into reality while embodying the characteristics of optimism, inspiration, and confidence.</t>
  </si>
  <si>
    <t>The Chairman's statement presented the Annual Report and Financial Statements of the Group and the Company for the financial year ended 31 December 2022 (FY2022). It also mentioned that the qualitative criteria for evaluating Board Committees are set out in a questionnaire covering areas such as composition, roles and responsibilities, conduct of meetings, and access to information. Additionally, the statement included a description of an image depicting the Executive Chairman, who appears to be an Asian man with short gray hair and glasses, dressed in a black suit, white shirt, and patterned orange tie, with a gentle smile on his face. The image features a wireframe globe with glowing points of light and data charts, symbolizing global connectivity and finance.</t>
  </si>
  <si>
    <t>The text does not explicitly mention 'Broad Members'. However, based on the context, we can infer that the Directors are the broad members. All Directors have separate and independent access to Management at all times, and unrestricted access to the Company's records and information. They receive detailed financial and operational reports from Management during the year to enable them to carry out their duties. Management may be invited to Board and Board Committees meetings to present and share information, and participate in discussions on matters to be deliberated by the Board or Board Committees, or to generally update the Board or Board Committees on the Group's operations and business development. This promotes active engagement with Management and gives the Directors a good understanding of the Group's business and the challenges it faces.</t>
  </si>
  <si>
    <t>The major strategic priority announced for the upcoming financial year is to stay relevant and competitive by continuing the digital transformation efforts to sustain the Group's long-term growth for the benefit of all stakeholders.</t>
  </si>
  <si>
    <t>The context does not provide specific information on which business segment contributed the highest revenue for the year ended 31 December 2023. It only mentions that the company operates in two segments: Segment A and Segment B. To determine the segment with the highest revenue, one would need to refer to the financial statements or additional notes detailing the revenue contribution of each segment.</t>
  </si>
  <si>
    <t>The total dividend declared for the reporting year is not explicitly stated in the provided document. However, it can be inferred that the total dividend declared for the reporting year includes both the first and final dividends as well as any special dividends. For instance, in 2022, the total dividend declared would be the sum of the first and final dividends (3,174 x 2.0 cents) plus the special dividend (1,983 x 1.0 cents). Please note that these figures are examples based on the given data and may not reflect the actual values for the reporting year.</t>
  </si>
  <si>
    <t>The CEO emphasizes the importance of Singapore Finance's commitment to its stakeholders, including employees, customers, shareholders, and the community. The company has achieved significant milestones in 2022, such as maintaining strong financial performance, enhancing digital capabilities, and fostering a culture of continuous improvement. Looking ahead, Singapore Finance aims to further strengthen its position in the market through strategic initiatives and sustainable growth.</t>
  </si>
  <si>
    <t>The provided context does not contain specific details about Singapore Finance Limited (SFL)'s sustainability or ESG commitments for the reporting year. It only includes a table with ESG factors and their respective page references for detailed disclosures within the annual report. To provide an accurate summary of SFL's sustainability/ESG commitments, I would need access to the detailed disclosures mentioned in the table.</t>
  </si>
  <si>
    <t>The context only includes details about routine business resolutions such as adopting directors' statements, audited financial statements, declaring dividends, and re-electing directors. It does not provide any strategic plans or goals for the company's future operations.</t>
  </si>
  <si>
    <t>The Chief Executive Officer and Executive Director is Mr Jamie Teo Miang Yeow.</t>
  </si>
  <si>
    <t>The company was incorporated in the Republic of Singapore , with the company registration number indicating its founding year as 1969.</t>
  </si>
  <si>
    <t>Page 12, 86</t>
  </si>
  <si>
    <t>The company is incorporated in and primarily operates in the Republic of Singapore.</t>
  </si>
  <si>
    <t>Page 130</t>
  </si>
  <si>
    <t>Page 2, 5</t>
  </si>
  <si>
    <t>At Singapura Finance,our core values are: Shareholder Value, PeopleDevelopment, Integrity, Customer Focus and Efficiency (S.P.I.C.E)</t>
  </si>
  <si>
    <t>The Group's profit after tax declined by 26.2% to S$6.2 million for FY2023. This decline was due to lower net interest income as the higher cost of funds outpaced the increase in total interest income. Shareholders' funds remained robust at S$253 million. A total dividend of 3.0 cents per share was recommended for the year.</t>
  </si>
  <si>
    <t>The Group's priorities are to be proactive in managing its net interest margin , manage risk exposures closely , and continue with its digital transformation to sustain long-term growth.</t>
  </si>
  <si>
    <t>Page 3, 5</t>
  </si>
  <si>
    <t>Page 8</t>
  </si>
  <si>
    <t>The Earnings Per Share for FY2023 is 3.88 thousand</t>
  </si>
  <si>
    <t>The total asset value for FY2023 is 1,163,084 thousand</t>
  </si>
  <si>
    <t>The Net Asset Value per share for FY2023 is 1.6 thousand</t>
  </si>
  <si>
    <t>Hire purchase/block discounting contributed 216,789 thousand in AY2023</t>
  </si>
  <si>
    <t>Page 117</t>
  </si>
  <si>
    <t>Page 2 - 5</t>
  </si>
  <si>
    <t>The Group is committed to being a responsible corporate citizen, actively working to reduce its carbon footprint. This includes integrating environmental, social, and governance (ESG) factors into its risk and credit assessment under its environmental risk management framework. The Board is committed to continually enhancing the management of material sustainability factors and pursuing opportunities for resilience and value creation for stakeholders.</t>
  </si>
  <si>
    <t>Which accounting firm served as the external auditors for the Company for the financial year ended 31 December 2023?</t>
  </si>
  <si>
    <t>The AC is satisfied that the external auditors has the requisite expertise and resources to perform their duties. Accordingly, the AC has nominated KPMG LLP for re-appointment as the external auditors at the forthcoming AGM.</t>
  </si>
  <si>
    <t>Page 65</t>
  </si>
  <si>
    <t>What is the "closed period" during which Directors and officers are prohibited from dealing in the Company’s securities?</t>
  </si>
  <si>
    <t>Page 70</t>
  </si>
  <si>
    <t>during the period commencing one month before the date of announcement of the half-year and full-year financial results (“closed period’).</t>
  </si>
  <si>
    <t>As at 18 March 2024, which entity holds the largest direct interest in the Company's shares, and what is the percentage?</t>
  </si>
  <si>
    <t>SEE HOY CHAN (1988) PTE LTD. Number of shares: 74,442,000; 46.91% of total issued shares</t>
  </si>
  <si>
    <t>Page 132</t>
  </si>
  <si>
    <t>What percentage of the Company's issued ordinary shares is held by the public?</t>
  </si>
  <si>
    <t>On the basis of the information available to the Company, approximately 47.63% of the issued ordinary shares were</t>
  </si>
  <si>
    <t>Page 133</t>
  </si>
  <si>
    <t>What is the limit on the aggregate number of shares that can be issued other than on a pro rata basis to shareholders?</t>
  </si>
  <si>
    <t>The aggregate number of shares to be issued pursuant to this Resolution shall not exceed fifty per
cent (50%) of the total number of issued shares, of which the aggregate number of shares to
be issued other than on a pro rata basis to shareholders of the Company shall not exceed twenty per cent (20%) of the total number of issued shares</t>
  </si>
  <si>
    <t>Page 135</t>
  </si>
  <si>
    <t>Sentence/Paragraph Splitting</t>
  </si>
  <si>
    <t>I cannot find this information in the provided documents. The text only lists properties held by the Group and the Company without specifying any markets or regions.</t>
  </si>
  <si>
    <t>Semantic Chuncking</t>
  </si>
  <si>
    <t>Mr. Jamie Teo Miang Yeow.</t>
  </si>
  <si>
    <t>The company operates in three main geographical segments: Singapore, Malaysia, and Other Asia.</t>
  </si>
  <si>
    <t>The company’s three main business segments are Life Insurance, Non-life Insurance, and Shareholders.</t>
  </si>
  <si>
    <t>The company's mission or vision statement is to build a brand that embodies optimism, inspiration, and confidence. They aim to provide products and services for the everyday man, equipping customers with product literature and assistance from relationship managers to make informed decisions. The company understands customer needs and packages practical deals to suit their lifestyle and fulfill their dreams, continuously engaging with customers to bring their visions into reality.</t>
  </si>
  <si>
    <t>The Chairman's statement presented the Annual Report and Financial Statements of the Group and the Company for the financial year ended 31 December 2022 (FY2022). It also mentioned that the qualitative criteria for evaluating Board Committees are set out in a questionnaire covering areas such as composition, roles and responsibilities, conduct of meetings, and access to information.</t>
  </si>
  <si>
    <t>The Board Members are collectively responsible for providing overall strategy and direction to Management in order to achieve sustainable and successful performance for the Company and its subsidiaries (the 'Group'). They bring their independent judgement, diverse knowledge, and extensive experience in fulfilling their oversight responsibility of the Group's business and affairs. Their primary responsibilities include ensuring resources are in place for the Company to meet its objectives, safeguarding shareholders' interests and the Company's assets, considering and approving key changes to the organizational structure, approving the nominations and re-election of Directors, reviewing Management's performance, setting the Company's values and standards, considering sustainability issues as part of strategic formulation, and assuming responsibility for corporate governance. Each Director is expected to act in good faith and in the best interests of the Company in the discharge of their duties.</t>
  </si>
  <si>
    <t>The major strategic priority announced for the upcoming financial year is the continued focus on digital transformation to ensure the Group's long-term growth and relevance in the market.</t>
  </si>
  <si>
    <t>256,376 at 1 January 2022 and 254,623 at 1 January 2021.</t>
  </si>
  <si>
    <t>The Net Asset Value (NAV) per share was S$18.35 in 2024, S$16.66 in 2023, S$15.16 in 2022, S$21.19 in 2021, and S$19.78 in 2020.</t>
  </si>
  <si>
    <t>The debt-to-equity ratio is not explicitly listed in the provided financial summary or balance sheets. However, it can be calculated using the data available. For instance, the total liabilities for the group are 1,380.7 million and the total shareholders' equity for the same period is 8,784.1 million. Therefore, the debt-to-equity ratio would be approximately 1,380.7 / 8,784.1 = 0.157 or 15.7%. Please note that this calculation assumes that all liabilities are debt and does not account for non-controlling interests.</t>
  </si>
  <si>
    <t>The context does not provide specific information on which business segment contributed the highest revenue for the year ended 31 December 2023.</t>
  </si>
  <si>
    <t>The total dividend declared for the reporting year is not explicitly stated in the provided document. However, it can be inferred that the total dividend declared for 2022 is approximately 5,157 thousand dollars, as this amount is mentioned under 'Group and Company = 2022 $'000.' This figure represents the sum of the first and final dividends, special dividends, and any other dividends declared during the year.</t>
  </si>
  <si>
    <t>The CEO emphasizes the importance of Singapore Finance's commitment to responsible finance, its strong financial position, and its focus on sustainable growth. The company has demonstrated resilience during challenging times and remains dedicated to delivering value for all stakeholders. The CEO highlights the company's strategic initiatives, including digital transformation, talent management, and environmental, social, and governance (ESG) integration, as key drivers for future success.</t>
  </si>
  <si>
    <t>The "closed period" is the period commencing one month before the date of announcement of the half-year and full-year financial results. During this time, Directors and officers are prohibited from dealing in the Company’s securities.</t>
  </si>
  <si>
    <t>The limit on the aggregate number of shares that can be issued other than on a pro rata basis to shareholders is twenty percent (20%) of the total number of issued shares (excluding treasury shares and subsidiary holdings).</t>
  </si>
  <si>
    <t>The Group operates in only one segment (financing business). However, its loan portfolio concentration is categorized into sectors, with the top three being Hire purchase/block discounting, Housing loans secured by property, and Building and construction.</t>
  </si>
  <si>
    <t>Page 117, 130</t>
  </si>
  <si>
    <t>(Based on the "Profit Before Tax" bar chart as a proxy for performance trend in lieu of a specific revenue chart) The year 2021 recorded the highest profit before tax ($11.5 million).</t>
  </si>
  <si>
    <t>A specific profit margin chart is not provided, but the Net Interest Margin is listed as 2.00%.</t>
  </si>
  <si>
    <t>Page 11</t>
  </si>
  <si>
    <t>(Based on loan concentration data) The Hire purchase/block discounting sector grew significantly from $163.4m to $216.8m.</t>
  </si>
  <si>
    <t>The company operates solely in Singapore, contributing 100%.</t>
  </si>
  <si>
    <t>Other operating expenses increased by 13.0%, while staff costs decreased.</t>
  </si>
  <si>
    <t>Page 13</t>
  </si>
  <si>
    <t>(Derived from Chairman's Statement/Operations Review) The Group faced a challenging environment with high interest rates impacting net interest income, leading to a profit decline. Operational focus remained on providing competitive rates and enhancing digital platforms like SFL Go and SFL IBiz. Strategic priorities include managing net interest margins, monitoring risks, and continuing digital transformation for sustainable growth.</t>
  </si>
  <si>
    <t>Key risks include Credit Risk, Market Risk, Liquidity Risk, Operational and Technology Risk, and Compliance Risk.</t>
  </si>
  <si>
    <t>Page 60-62</t>
  </si>
  <si>
    <t>The Group aims to stay relevant and competitive by proactively managing net interest margins amidst volatile rates and forging ahead with digital transformation to sustain long-term growth for stakeholders.</t>
  </si>
  <si>
    <t>Page 5</t>
  </si>
  <si>
    <t>The Group enhanced its web-based online services SFL Go and SFL IBiz to improve customer experience and drove digitalization of customer touch-points using security-by-design strategies.</t>
  </si>
  <si>
    <t>Page 4-5</t>
  </si>
  <si>
    <t xml:space="preserve">Fixed-Size (Character) Sliding Window </t>
  </si>
  <si>
    <t>Total</t>
  </si>
  <si>
    <t>/70</t>
  </si>
  <si>
    <t>The company, Singapura Finance Ltd, was incorporated in the Republic of Singapore in the year 1969 (as shown by its company registration number: 196900340N).</t>
  </si>
  <si>
    <t>I cannot determine who the current Chairman of the Board is based on the provided context. However, it mentions that Mrs Yu-Foo Yee Shoon was the Deputy Board Chairman until February 29, 2024, and thereafter became the Non-Independent Non-Executive Chairman. It also states that Dr Christopher Teo Miang Chneh was appointed as a non-independent non-executive director on July 1, 2023.</t>
  </si>
  <si>
    <t>Our brand is built on the characteristics of 'optimism, inspiration and confidence'. As an expression of these aspirations, our products and services cater to the everyday man. We equip our customers with product literature and our relationship managers will assist them in making an informed decision. We understand their needs and package practical deals to suit their lifestyle and fulfil their dreams.</t>
  </si>
  <si>
    <t>The Group continued to forge ahead with our digital transformation journey, total operating expenses remained relatively consistent as compared to last year with a decrease of 0.4% or $0.1 million.</t>
  </si>
  <si>
    <t>According to the context, the current members of the Board are prominent business leaders and professionals with financial, banking, and business management backgrounds. They bring their independent judgement, diversified knowledge, and extensive experience in fulfilling their oversight responsibility of the Group's business and affairs.
The principal functions of the Board include:
* Providing overall strategy and direction to Management. Setting the tone for the Group where ethics and values are concerned。 Ensuring that specific issues are subject to in-depth and timely review through delegation to various Board Committees。ful performance for the Company and its subsidiaries.</t>
  </si>
  <si>
    <t>The net profit after tax for FY2023 can be found by looking at the "Profit after tax" figure for FY2023, which is S$6,156.</t>
  </si>
  <si>
    <t>According to the context, the Earnings per share (cents) for FY2023 is 3.88.</t>
  </si>
  <si>
    <t>According to the context, the Total Assets value for FY2023 is S$1,163,084.</t>
  </si>
  <si>
    <t>I cannot determine which business segment contributed the highest revenue based on the provided context. The text mentions that the company operates in only one segment, which is financing business, but it does not provide information about specific segments or their revenues.</t>
  </si>
  <si>
    <t>I cannot provide a specific answer as the context does not mention any information about the revenue for previous years. However, it mentions that the profit after tax declined by 26.2% compared to last year.</t>
  </si>
  <si>
    <t>The company's sustainability/ESG commitments for the reporting year include:
* Preparing a Sustainability Report (SR) based on the Global Reporting Initiative Standards
* Conducting a climate-related risk assessment and summarizing its outcome in the report
* Subjecting the SR process to internal review by the Internal Auditor (IA)
* Reviewing the sustainability framework and reporting process, including internal controls over data collected and reported
* Welcoming stakeholders' feedback and comments on the report</t>
  </si>
  <si>
    <t>KPMG LLP is the external auditor of the Company.</t>
  </si>
  <si>
    <t>"(c) during the period commencing one month before the date of announcement of the half-year and full-year financial results ('closed period')."</t>
  </si>
  <si>
    <t>According to the context, approximately 47.63% of the issued ordinary shares were held by the public as of 18 March 2024.</t>
  </si>
  <si>
    <t>According to the context, the limit on the aggregate number of shares that can be issued other than on a pro rata basis to shareholders is twenty per cent (20%) of the total number of issued shares (excluding treasury shares and subsidiary holdings).</t>
  </si>
  <si>
    <t>1.6 thousand</t>
  </si>
  <si>
    <t>Mr Jamie Teo Miang Yeow is the CEO.</t>
  </si>
  <si>
    <t>The company, Singapura Finance Ltd, was incorporated in the Republic of Singapore in the year 1969 (as shown by its Company Registration No. 196900340N).</t>
  </si>
  <si>
    <t>I cannot determine the company's three main business segments from the provided context. The text only mentions that the group operates in one segment related to financing businesses.</t>
  </si>
  <si>
    <t>I cannot determine who the current Chairman of the Board is based on the provided context. However, it mentions that Mrs Yu-Foo Yee Shoon was the Deputy Board Chairman until February 29, 2024, and would then become the Non-Independent Non-Executive Chairman. It also states that Dr Christopher Teo Miang Chneh was appointed as a non-independent non-executive director on July 1, 2023.</t>
  </si>
  <si>
    <t>Their principal functions as a collective group include:
* Providing overall strategy and direction to Management
* Setting the tone for the Group where ethics and values are concerned
* Ensuring that specific issues are subject to in-depth and timely review through delegation to various Board Committees</t>
  </si>
  <si>
    <t>According to the context, the Profit after tax, FY2023 S$'000 = 6,156.</t>
  </si>
  <si>
    <t>According to the context, the Net Asset Value (NAV) per share in 2023 was $1.60 and in 2022 was $1.59.</t>
  </si>
  <si>
    <t>I cannot determine which business segment contributed the highest revenue based on the provided context. The text only mentions that the company operates in one segment related to financing and does not provide information about other segments or their revenues.</t>
  </si>
  <si>
    <t>A: I cannot provide a specific answer as there is no information about the revenue for previous years. However, I can tell you that the net interest income decreased by 16.1% and non-interest income increased by 22.6%.</t>
  </si>
  <si>
    <t>According to the context, the Board is recommending a first and final one-tier tax exempt dividend of 2.0 cents per share and a special one-tier tax exempt dividend of 1.0 cent per share for FY2023. The total distribution of 3.0 cents per share for the year will amount to approximately $4.8 million. Therefore, the answer is: $4,800,000</t>
  </si>
  <si>
    <t>To find out which cost category increased the most year-on-year, we need to look at the percentage change in each category from one year to another. Unfortunately, there is no clear indication of which category had the largest increase. However, if we compare the total spending goods and services in operations (SGD) for 2021 and 2022, we can see that it increased by $0.1m (from $4.9m to $6.5m). This is a relatively small increase compared to other categories.</t>
  </si>
  <si>
    <t>The company has established clear roles and responsibilities between the Executive Chairman and the CEO to ensure effective governance.
The Board is responsible for monitoring the Company's progress and development, while the CEO manages daily operations and implements the Board's policies.
The Directors have fiduciary duties to provide entrepreneurial leadership, establish controls, and safeguard shareholders' interests.</t>
  </si>
  <si>
    <t>The company's sustainability/ESG commitments for the reporting year include: Preparing a Sustainability Report (SR) based on the Global Reporting Initiative Standards. Conducting a climate-related risk assessment and summarizing its outcome in the report. Subjecting the SR process to internal review by the Internal Auditor (IA). Reviewing the sustainability framework and reporting process, including internal controls over data collected and reported. Welcoming stakeholders' feedback and comments on the report</t>
  </si>
  <si>
    <t>I cannot find any information about the company's business strategy for the next 2-3 years in the provided context. The text appears to be related to a company's annual report, but it does not provide specific details on their future business plans or strategies. However, I can summarize what is mentioned about the company's current approach and values: They leverage technology and process improvements for continual innovation and operational efficiency, prioritize employee engagement through ongoing feedback and benchmarking against industry practices, adopt a flexible approach to suit hybrid working models and different communication preferences.</t>
  </si>
  <si>
    <t>According to the context, the "closed period" during which Directors and officers are prohibited from dealing in the Company's securities is: "(c) during the period commencing one month before the date of announcement of the half-year and full-year financial results ('closed period')."</t>
  </si>
  <si>
    <t>According to the context, approximately 47.63% of the issued ordinary shares were held by the public as of March 18, 2024. This information is stated in the following sentence: "On the basis of the information available to the Company, approximately 47.63% of the issued ordinary shares were held by the public and therefore Rule 723 of the Listing Manual issued by the Singapore Exchange Securities Trading Limited has been complied with, which requires at least 10% of a listed issuer's equity securities to be held by the public."</t>
  </si>
  <si>
    <t xml:space="preserve">Recursive Structure-Aware </t>
  </si>
  <si>
    <t xml:space="preserve">Content-Aware Splitting </t>
  </si>
  <si>
    <t>NTLK Sentence Splitting</t>
  </si>
  <si>
    <t>Their principal functions include:
* Providing overall strategy and direction to Management
* Ensuring the long-term success of the Group
* Setting the tone for the Group where ethics and values are concerned
The Board members collectively provide core competencies relevant to the Group's business, including a balance of skills, experience, gender, and knowledge of the Company. They also comprise two female Directors, with ages ranging from mid-40s to over 70 years old, who have served on the Board for different tenures.
In terms of delegation of authority, certain functions have been delegated to various Board Committees, which would submit their recommendations or decisions to the Board. The six Board Committees are:
* Executive Committee ('EXCO')
* Digitalization Committee ('DC')
* Nominating Committee ('NC')
* Remuneration Committee ('RC')
* Risk Management Committee ('RMC')
* Audit Committee ('AC')</t>
  </si>
  <si>
    <t>According to the context, the Net Asset Value (NAV) per share in 2023 was $1.60</t>
  </si>
  <si>
    <t>I cannot determine the percentage increase or decrease in revenue for FY2023 as this information is not provided in the context. However, I can tell you that the net interest income declined by 16.1% and non-interest income increased by 22.6%.</t>
  </si>
  <si>
    <t>I cannot find a "CEO's message" in the provided context. However, I can summarize the main points of the text as follows: The Executive Chairman leads the Board to monitor and review the Company's progress and long-term development, ensuring accurate information is provided to enable sound decisions.
The CEO manages the daily operations of the Group and implements the Board's policies and decisions.
There is a clear division of responsibilities between the leadership of the Board and Management, with no one individual having unfettered powers of decision-making.</t>
  </si>
  <si>
    <t>The company's sustainability/ESG commitments for the reporting year can be summarized as follows: The company has a Sustainability Steering Committee (SSC) that supports the Board in overseeing the management and monitoring of environmental, social, and governance (ESG) issues. The company is required by SGX Listing Rules to subject its sustainability report process to review, with internal audit (IA) conducting reviews on the sustainability framework and reporting process, including internal controls over data collected and reported. The company has prepared a Sustainability Report based on Global Reporting Initiative Standards, which can be found in this Annual Report. Overall, the company appears to be committed to transparency and accountability in its sustainability reporting, with regular review and assurance processes in place.</t>
  </si>
  <si>
    <t>Their principal functions as a collective group include:
* Providing overall strategy and direction to Management
* Setting the tone for the Group where ethics and values are concerned
* Ensuring that specific issues are subject to in-depth and timely review through delegation to various Board Committees. The current members of the Board are prominent business leaders and professionals with financial, banking, and business management backgrounds. Their principal functions include providing overall strategy and direction to Management, ensuring the long-term success of the Group, and setting the tone for the Group where ethics and values are concerned.</t>
  </si>
  <si>
    <t>I cannot provide a specific answer as there is no information about the revenue for previous years. However, I can tell you that the net interest income decreased by 16.1% and non-interest income increased by 22.6%.</t>
  </si>
  <si>
    <t>The Executive Chairman leads the Board to monitor and review the Company's progress and long-term development, ensuring accurate information is provided to enable sound decisions. The CEO manages the daily operations of the Group and implements the Board's policies and decisions. There is a clear division of responsibilities between the leadership of the Board and Management, with no one individual having unfettered powers of decision-making.</t>
  </si>
  <si>
    <t>* Preparing a Sustainability Report (SR) based on the Global Reporting Initiative Standards
* Conducting a climate-related risk assessment and summarizing its outcome in the report
* Subjecting the SR process to internal review by the Internal Auditor (IA)
* Reviewing the sustainability framework and reporting process, including internal controls over data collected and reported
* Welcoming stakeholders' feedback and comments on the report</t>
  </si>
  <si>
    <t>I cannot find any information about "Operations Review" in the provided context. However, I can tell you that there is a mention of Operational and Technology Risk Management Framework, policies and procedures, and strategies to mitigate risks and improve the efficiency and effectiveness of the operation risk processes and information flows.</t>
  </si>
  <si>
    <t>I cannot determine the entity that holds the largest direct interest in the company's shares. The provided context only lists the top 20 shareholders but does not specify which one has the largest direct interest.</t>
  </si>
  <si>
    <t>I cannot find a specific summary of the business strategy for the next 2-3 years in the provided context. The text discusses various aspects such as business model assessment, ongoing employee engagements, and accountability of the Board and Management, but it does not provide a clear outline of the company's future business strategy.</t>
  </si>
  <si>
    <t>Their principal functions as a Board include:
* Providing overall strategy and direction to Management
* Setting the tone for the Group where ethics and values are concerned
* Ensuring that specific issues are subject to in-depth and timely review through delegation to various Board Committees
The Board members collectively provide core competencies relevant to the Group's business, including:
* Diverse corporate experiences
* A balance of skills, experience, gender, and knowledge of the Company
* Objective perspectives on the Group's business and direction Committees</t>
  </si>
  <si>
    <t>According to the context, the Net Asset Value (NAV) per share in 2023 was $1.60 and in 2022 was $1.59. Therefore, the answer is: $1.60</t>
  </si>
  <si>
    <t>I cannot find a "CEO's message" in the provided context. However, I can summarize the main points of the text as follows:
The Executive Chairman leads the Board to monitor and review the Company's progress and development, ensuring accurate information is provided to enable sound decisions. The CEO manages the daily operations of the Group and implements the Board's policies and decisions. There is a clear division of responsibilities between the leadership of the Board and Management, with no one individual having unfettered powers of decision-making.</t>
  </si>
  <si>
    <t>I cannot find a specific summary of the business strategy for the next 2-3 years in the provided context. The text discusses various aspects such as business model assessment, ongoing employee engagements, and accountability of the Board and Management, but it does not provide a clear outline of the company's business strategy for the next 2-3 years.</t>
  </si>
  <si>
    <t>I cannot find any information about "Operations Review" in the provided context. However, I can tell you that there is a mention of Operational and Technology Risk in the context, but it does not describe specific operational achievements. It describes the roles and responsibilities of the AC (Audit Committee) and the OPTECH (Operational and Technology Risk Committee), as well as the management of operational risk within the company.</t>
  </si>
  <si>
    <t xml:space="preserve"> I cannot determine who the current Chairman of the Board is based on the provided context. However, it mentions that Mrs Yu-Foo Yee Shoon was the Deputy Board Chairman until February 29, 2024, and thereafter became the Non-Independent Non-Executive Chairman. It also states that Dr Christopher Teo Miang Chneh was appointed as a non-independent non-executive director on July 1, 2023, but it does not explicitly state that he is the current Chairman of the Board.</t>
  </si>
  <si>
    <t>The Executive Chairman leads the Board to monitor and review the Company's progress and development, ensuring accurate information is provided to enable sound decisions. The CEO manages the daily operations of the Group and implements the Board's policies and decisions. The Directors have fiduciary duties including providing entrepreneurial leadership, establishing controls, approving key changes, and monitoring performance.</t>
  </si>
  <si>
    <t>Fixed-Size (Character) Sliding Window, sentence-transformers/paraphrase-multilingual-mpnet-base-v2</t>
  </si>
  <si>
    <t>Fixed-Size (Character) Sliding Window, nomic-ai/nomic-embed-text-v1.5</t>
  </si>
  <si>
    <t>Content-Aware Splitting, nomic-ai/nomic-embed-text-v1.5</t>
  </si>
  <si>
    <t>Content-Aware Splitting, sentence-transformers/paraphrase-multilingual-mpnet-base-v2</t>
  </si>
  <si>
    <t>Their principal functions include: Providing overall strategy and direction to Management, Enabling the Group to meet its objectives for long-term success, Setting the tone for the Group where ethics and values are concerned
The Board members collectively provide core competencies, including a balance of skills, experience, gender, and knowledge of the Company. They comprise two female Directors with ages ranging from mid-40s to over 70 years old, who have served on the Board for different tenures.
In terms of delegation of authority, certain functions have been delegated to various Board Committees, which would submit their recommendations or decisions to the Board. The six Board Committees are: Executive Committee (EXCO), Digitalization Committee (DC), Nominating Committee (NC), Remuneration Committee (RC), Risk Management Committee (RMC), Audit Committee (AC)</t>
  </si>
  <si>
    <t>Preparing a Sustainability Report (SR) based on the Global Reporting Initiative Standards
* Conducting a climate-related risk assessment and summarizing its outcome in the report
* Subjecting the SR process to internal review by the Internal Auditor (IA)
* Reviewing the sustainability framework and reporting process, including internal controls over data collected and reported
* Welcoming stakeholders' feedback and comments on the report</t>
  </si>
  <si>
    <t>Their principal functions include:
* Providing overall strategy and direction to Management
* Setting the tone for the Group where ethics and values are concerned
* Ensuring that specific issues are subject to in-depth and timely review through delegation to various Board Committees
The Board members collectively provide core competencies relevant to the Group's business, including a balance of skills, experience, gender, and knowledge of the Company. They comprise two female Directors with ages ranging from mid-40s to over 70 years old, who have served on the Board for different tenures.
In terms of their responsibilities, the Board members are collectively responsible for:
* Providing overall strategy and direction to Management
* Ensuring that specific issues are subject to in-depth and timely review through delegation to various Board Committees
* Setting the tone for the Group where ethics and values are concerned</t>
  </si>
  <si>
    <t xml:space="preserve"> To find the total equity attributable to shareholders, we need to look at the "Total" column for both January 1, 2022 and January 1, 2023.
For January 1, 2022:
At 1 January 2022, Attributable to equity holders of the Company = 256,376
For January 1, 2023:
At 1 January 2023, Attributable to equity holders of the Company = 252,222
However, since we are looking for the total equity attributable to shareholders, and there is no indication that any changes were made during the year (as the numbers seem to be opening balances), we can consider both values as representing the total equity at the beginning and end of the period.
Therefore, the answer could be either 256,376 or 252,222.</t>
  </si>
  <si>
    <t>According to the context, the Net Asset Value (NAV) per share is $1.60 in 2023 and $1.59 in 2022, with a variance of 0%. Therefore, the answer is: $1.60</t>
  </si>
  <si>
    <t>The company's sustainability/ESG commitments for the reporting year include:
* Preparing a Sustainability Report (SR) based on the Global Reporting Initiative Standards
* Conducting a climate-related risk assessment and summarizing its outcome in the report
* Subjecting the SR process to internal review by the Internal Auditor (IA)
* Reviewing the sustainability framework and reporting process, including internal controls over data collected and reported
* Welcoming stakeholders' feedback and comments on the report</t>
  </si>
  <si>
    <t>Their principal functions as a collective group include:
* Providing overall strategy and direction to Management
* Ensuring the long-term success of the Group
* Setting the tone for the Group where ethics and values are concerned
The Board members also provide core competencies relevant to the Group's business, including:
* Diverse corporate experiences
* A balance of skills, experience, gender, and knowledge of the Company
* Objective perspectives on the Group's business and direction
Additionally, the Board has delegated certain functions to six Board Committees, which are responsible for submitting recommendations or decisions to the Board. These committees include:
* Executive Committee (EXCO)
* Digitalization Committee (DC)
* Nominating Committee (NC)
* Remuneration Committee (RC)
* Risk Management Committee (RMC)
* Audit Committee (AC)</t>
  </si>
  <si>
    <t>According to the context, the Net Asset Value per share ($), 2023 $'000 = 1.60 and the Net Asset Value per share ($), 2022 $'000 = 1.59. Therefore, the answer is: $1.60 (for 2023)</t>
  </si>
  <si>
    <t>The Executive Chairman leads the Board in monitoring and reviewing the Company's progress and development, while the CEO manages the daily operations of the Group and implements the Board's policies and decisions.
There is a clear division of responsibilities between the leadership of the Board and Management, with no one individual having unfettered powers of decision-making.
The Directors have fiduciary duties to provide entrepreneurial leadership, establish prudent controls, and ensure the Company meets its objectives.</t>
  </si>
  <si>
    <t>Their principal functions include:
* Providing overall strategy and direction to Management
* Ensuring the long-term success of the Group
* Setting the tone for the Group where ethics and values are concerned
The Board members collectively provide core competencies relevant to the Group's business, including a balance of skills, experience, gender, and knowledge of the Company. They also have diverse corporate experiences, with ages ranging from mid-40s to over 70 years old.
Additionally, the Board has delegated certain functions to six Board Committees, which are responsible for submitting recommendations or decisions to the Board on specific issues. These committees include:
* Executive Committee (EXCO)
* Digitalization Committee (DC)
* Nominating Committee (NC)
* Remuneration Committee (RC)
* Risk Management Committee (RMC)
* Audit Committee (AC)</t>
  </si>
  <si>
    <t>The Executive Chairman leads the Board to monitor and review the Company's progress and development, ensuring accurate information is provided to enable sound decisions. The CEO manages the daily operations of the Group and implements the Board's policies and decisions. There is a clear division of responsibilities between the leadership of the Board and Management, with no one individual having unfettered powers of decision-making.</t>
  </si>
  <si>
    <t>The Company has a Sustainability Steering Committee (SSC) that supports the Board in overseeing the management and monitoring of environmental, social, and governance (ESG) issues. The Company has conducted a climate-related risk assessment and reported on its outcome. The Company's sustainability reporting process is subject to internal reviews by the Group's internal auditors, including reviews of key ESG data and the data collection and reporting process. The Company has committed to disclosing its ESG factors in accordance with the Global Reporting Initiative Standards.
Overall, the company appears to be committed to transparency and accountability in its sustainability reporting, and is taking steps to manage and monitor its ESG issues.</t>
  </si>
  <si>
    <t>The company operates in only one segment, which is financing business carried out in the Republic of Singapore. Additionally, it has invested and operated manufacturing companies in Europe and Russia, equipment distribution companies in Europe, an industrial automation company, and a technical training school in Asia. This suggests that the company also operates in these regions to some extent, although the primary location remains Singapore.</t>
  </si>
  <si>
    <t>I cannot determine who the Chairman of the Board is from the provided context. However, I can tell you that Adam Tan Chin Han has been appointed as the Lead Independent Director and Chairman of the Nominating Committee with effect from 29 February 2024.</t>
  </si>
  <si>
    <t>I cannot find a clear mission or vision statement in the provided context. However, it mentions that "Our brand is built on the characteristics of 'optimism, inspiration and confidence'" which could be interpreted as part of the company's values or identity, but not necessarily its mission or vision statement.</t>
  </si>
  <si>
    <t>According to the provided context, the current members of the Board are prominent business leaders and professionals with financial, banking, and business management backgrounds. They have diverse corporate experiences that provide core competencies relevant to the Group's business.
The Board members collectively provide a balance of skills, experience, gender, and knowledge of the Company. Specifically, the Board comprises two female Directors, and their ages range from mid-40s to over 70 years old, with varying tenures on the Board.
As for their responsibilities, it is mentioned that the Board members are responsible for providing diverse and objective perspectives on the Group's business and direction. However, specific roles and responsibilities of individual Board members are not explicitly stated in the provided context.
It can be inferred from the context that the Board members are collectively responsible for overseeing the Group's business and making decisions regarding its direction. However, a clear division of responsibilities between the leadership of the Board and Management is maintained, as per Principle 3.
The Nomination Committee (NC) has specific roles and responsibilities outlined in Provision 4.1, including reviewing the structure, size, and composition of the Board, taking into account aspects of Board diversity, and making recommendations to the Board regarding any necessary adjustments. The NC also identifies and nominates candidates to fill board vacancies as they arise.
Therefore, a detailed description of individual Board members' responsibilities is not provided in the context. However, it can be inferred that their collective responsibility is to provide oversight and guidance to the Group's business, while maintaining a clear division of responsibilities between the leadership of the Board and Management.</t>
  </si>
  <si>
    <t>According to the context, the net profit after tax for FY2023 is S$6,156 (as mentioned in the "FINANCIAL HIGHLIGHTS" section).</t>
  </si>
  <si>
    <t>The total assets value for FY2023 is $1,163,084 (thousand).</t>
  </si>
  <si>
    <t>The Executive Chairman leads the Board to monitor and review the general progress and long-term development of the Company. He ensures that the members of the Board receive accurate, timely, and clear information to enable them to make sound decisions. The CEO manages the daily operations of the Group and implements the Board's policies and decisions.</t>
  </si>
  <si>
    <t>The company plans to continue reviewing and enhancing its risk assessment and risk pricing processes. Additionally, it will incorporate considerations of changing consumer demand and market risks into its product pricing and portfolio composition strategies.
In terms of operations, the company aims to:
* Continue to focus on fundamentals by providing competitive rates despite high interest rates
* Enhance web-based online services (SFL Go and SFL IBiz) for better customer experience
* Drive digital transformation initiatives to digitalize customer touch-points</t>
  </si>
  <si>
    <t>The "closed period" during which Directors and officers are prohibited from dealing in the Company's securities is the period commencing one month before the date of announcement of the half-year and full-year financial results.</t>
  </si>
  <si>
    <t>Based on the provided context, See Hoy Chan (1988) Pte Ltd holds the largest direct interest in the Company's shares. The number of shares held by See Hoy Chan (1988) Pte Ltd is 74,442,000, and the corresponding percentage is 46.912%.</t>
  </si>
  <si>
    <t>According to the context, approximately 47.63% of the issued ordinary shares were held by the public. This information is stated in the first paragraph under "SUBSTANTIAL SHAREHOLDERS AS AT 18 MARCH 2024".</t>
  </si>
  <si>
    <t>According to the context, the limit on the aggregate number of shares that can be issued other than on a pro rata basis to shareholders (excluding treasury shares and subsidiary holdings) is 20% of the total number of issued shares.</t>
  </si>
  <si>
    <t>Content-Aware Splitting, sentence-transformers/paraphrase-multilingual-mpnet-base-v2, model = llama3.1 + mmr (without filter)</t>
  </si>
  <si>
    <t>The company operates in only one segment, which is financing business carried out in the Republic of Singapore. Additionally, according to Mr Tan's background, Plasticscommerce Pte Ltd has invested in and operated manufacturing companies in Europe and Russia, indicating that the company also operates in these regions.</t>
  </si>
  <si>
    <t>I cannot determine the company's three main business segments from the provided context. The context only mentions that the company operates in one segment, which is financing business.</t>
  </si>
  <si>
    <t>I cannot determine who the Chairman of the Board is based on the provided context. However, I can tell you that Adam Tan Chin Han has been appointed as the Lead Independent Director and Chairman of the Nominating Committee, but it does not explicitly state that he is the Chairman of the Board.</t>
  </si>
  <si>
    <t>I cannot find a clear mission or vision statement in the provided context. However, I can infer that the company's values are built on "optimism, inspiration and confidence" as stated in the section "THE SINGAPURA FINANCE BRAND".</t>
  </si>
  <si>
    <t>I cannot provide a specific answer as there is no mention of "key highlights" in the provided context. However, I can summarize the main points mentioned in the Chairman's statement:
* The Group continued its digital transformation journey.
* Total operating expenses remained relatively consistent with a decrease of 0.4% or $0.1 million compared to last year.</t>
  </si>
  <si>
    <t>According to the context, the current members of the Board are prominent business leaders and professionals with financial, banking, and business management backgrounds. They have diverse corporate experiences that provide core competencies relevant to the Group's business.
The Board members collectively provide a balance of skills, experience, gender, and knowledge of the Company. Specifically:
* The Board comprises two female Directors.
* The Directors' ages range from mid-40s to over 70 years old.
* They have served on the Board for different tenures with combined business, management, and professional experience.
As for their responsibilities, it is mentioned that they are responsible for providing diverse and objective perspectives on the Group's business and direction. However, specific roles and responsibilities of individual Board members are not described in detail.
It is worth noting that the context also mentions the role and responsibilities of the Nomination Committee (NC), which includes reviewing the structure, size, and composition of the Board, taking into account aspects of Board diversity, and making recommendations to the Board for any adjustments deemed necessary. However, this does not describe the specific roles and responsibilities of individual Board members.</t>
  </si>
  <si>
    <t>The Total Assets value for FY2022 is $1,172,442,000 and the variance percentage is (0.80). However, to determine the Total Assets value for FY2023, we need to calculate it based on the given information.
Since the variance percentage is (0.80), we can set up a proportion:
(FY2023 / FY2022) = 1 - (0.80)
FY2023 = FY2022 x 1.20
= $1,172,442,000 x 1.20
= $1,404,930,400
Therefore, the Total Assets value for FY2023 is approximately $1,404,930,400.</t>
  </si>
  <si>
    <t>I cannot find a "CEO's message" in the provided context. The text appears to be related to a company meeting or annual report, but it does not include a message from the CEO. 
However, I can provide information on the roles of the Executive Chairman and the CEO based on Provision 3.2:
The Executive Chairman leads the Board to monitor and review the general progress and long-term development of the Company. He ensures that the members of the Board receive accurate, timely and clear information to enable them to make sound decisions. The CEO manages the daily operations of the Group and implements the Board's policies and decisions.</t>
  </si>
  <si>
    <t>* The company will continue to review and enhance its risk assessment and risk pricing processes.
* The Group will incorporate considerations on product pricing and portfolio composition when reviewing its strategy.
* The company will focus on digital transformation initiatives to drive the digitalization of customer touch-points.
* The company will maintain a competitive edge by providing competitive rates despite high interest rates.
However, these points are more related to risk management, operations, and digital transformation rather than a comprehensive business strategy for the next 2-3 years.</t>
  </si>
  <si>
    <t>I cannot find any information about "Operational Achievements" in the provided context. However, I can tell you that the context describes various risk management and control processes, including operational risk self-assessments, internal audits, and outsourcing arrangements. It also mentions corporate governance practices, such as Board performance evaluation and sustainability reporting.</t>
  </si>
  <si>
    <t>Content-Aware Splitting, sentence-transformers/paraphrase-multilingual-mpnet-base-v2, llama3.1, mmr (with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</si>
</sst>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5" x14ac:knownFonts="1">
    <font>
      <sz val="11"/>
      <color theme="1"/>
      <name val="Calibri"/>
      <family val="2"/>
      <scheme val="minor"/>
    </font>
    <font>
      <sz val="8"/>
      <name val="Calibri"/>
      <family val="2"/>
      <scheme val="minor"/>
    </font>
    <font>
      <b/>
      <sz val="11"/>
      <color theme="1"/>
      <name val="Calibri"/>
      <family val="2"/>
      <scheme val="minor"/>
    </font>
    <font>
      <sz val="11"/>
      <name val="Calibri"/>
      <family val="2"/>
      <scheme val="minor"/>
    </font>
    <font>
      <sz val="11"/>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wrapText="1"/>
    </xf>
    <xf numFmtId="0" fontId="0" fillId="0" borderId="0" xfId="0" quotePrefix="1" applyAlignment="1">
      <alignment wrapText="1"/>
    </xf>
    <xf numFmtId="0" fontId="0" fillId="0" borderId="0" xfId="0" applyAlignment="1">
      <alignment vertical="center"/>
    </xf>
    <xf numFmtId="0" fontId="0" fillId="0" borderId="0" xfId="0" applyAlignment="1">
      <alignment vertical="center" wrapText="1"/>
    </xf>
    <xf numFmtId="0" fontId="3" fillId="0" borderId="0" xfId="0" applyFont="1" applyAlignment="1">
      <alignment vertical="center" wrapText="1"/>
    </xf>
    <xf numFmtId="0" fontId="3" fillId="0" borderId="0" xfId="0" quotePrefix="1" applyFont="1" applyAlignment="1">
      <alignment vertical="center" wrapText="1"/>
    </xf>
    <xf numFmtId="0" fontId="4" fillId="0" borderId="0" xfId="0" applyFont="1" applyAlignment="1">
      <alignment wrapText="1"/>
    </xf>
    <xf numFmtId="0" fontId="2" fillId="0" borderId="0" xfId="0" applyFont="1" applyAlignment="1">
      <alignment vertical="center"/>
    </xf>
    <xf numFmtId="0" fontId="2" fillId="0" borderId="0" xfId="0" applyFont="1" applyAlignment="1">
      <alignment horizontal="right" vertical="center"/>
    </xf>
    <xf numFmtId="0" fontId="0" fillId="0" borderId="0" xfId="0" applyAlignment="1">
      <alignment vertical="top" wrapText="1"/>
    </xf>
    <xf numFmtId="3" fontId="0" fillId="0" borderId="0" xfId="0" applyNumberForma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horizontal="right" vertical="top" wrapText="1"/>
    </xf>
    <xf numFmtId="6" fontId="0" fillId="0" borderId="0" xfId="0" applyNumberFormat="1" applyAlignment="1">
      <alignment vertical="top"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Tan Poh Keam (RP)" id="{A63A3EF7-5389-4B72-BA7F-FC0B26E6C3DB}" userId="S::tan_poh_keam@rp.edu.sg::6ba791cb-a644-4a90-b603-e1cf59e3881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4" dT="2025-12-01T03:02:59.15" personId="{A63A3EF7-5389-4B72-BA7F-FC0B26E6C3DB}" id="{5DE4A2DE-48CB-4DE9-B7B7-1E342BE53084}">
    <text>You can read and derive this, or send the file to leading models and have the model to provide the answers. But please manually check with the relevant pages to ensure grounding</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8"/>
  <sheetViews>
    <sheetView workbookViewId="0">
      <selection activeCell="A6" sqref="A6"/>
    </sheetView>
  </sheetViews>
  <sheetFormatPr defaultRowHeight="14.4" x14ac:dyDescent="0.3"/>
  <sheetData>
    <row r="1" spans="1:1" x14ac:dyDescent="0.3">
      <c r="A1" t="s">
        <v>37</v>
      </c>
    </row>
    <row r="3" spans="1:1" x14ac:dyDescent="0.3">
      <c r="A3" t="s">
        <v>38</v>
      </c>
    </row>
    <row r="4" spans="1:1" x14ac:dyDescent="0.3">
      <c r="A4" t="s">
        <v>39</v>
      </c>
    </row>
    <row r="6" spans="1:1" x14ac:dyDescent="0.3">
      <c r="A6" t="s">
        <v>40</v>
      </c>
    </row>
    <row r="7" spans="1:1" x14ac:dyDescent="0.3">
      <c r="A7" t="s">
        <v>41</v>
      </c>
    </row>
    <row r="8" spans="1:1" x14ac:dyDescent="0.3">
      <c r="A8" t="s">
        <v>42</v>
      </c>
    </row>
    <row r="9" spans="1:1" x14ac:dyDescent="0.3">
      <c r="A9" t="s">
        <v>43</v>
      </c>
    </row>
    <row r="10" spans="1:1" x14ac:dyDescent="0.3">
      <c r="A10" t="s">
        <v>44</v>
      </c>
    </row>
    <row r="12" spans="1:1" x14ac:dyDescent="0.3">
      <c r="A12" t="s">
        <v>45</v>
      </c>
    </row>
    <row r="13" spans="1:1" x14ac:dyDescent="0.3">
      <c r="A13" t="s">
        <v>46</v>
      </c>
    </row>
    <row r="14" spans="1:1" x14ac:dyDescent="0.3">
      <c r="A14" t="s">
        <v>47</v>
      </c>
    </row>
    <row r="15" spans="1:1" x14ac:dyDescent="0.3">
      <c r="A15" t="s">
        <v>48</v>
      </c>
    </row>
    <row r="16" spans="1:1" x14ac:dyDescent="0.3">
      <c r="A16" t="s">
        <v>49</v>
      </c>
    </row>
    <row r="18" spans="1:1" x14ac:dyDescent="0.3">
      <c r="A18" t="s">
        <v>50</v>
      </c>
    </row>
  </sheetData>
  <pageMargins left="0.75" right="0.75" top="1" bottom="1" header="0.5" footer="0.5"/>
  <headerFooter>
    <oddHeader>&amp;C&amp;"Aptos"&amp;10&amp;K000000 Official (Closed) \ Sensitive Normal&amp;1#_x000D_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opLeftCell="A35" zoomScale="70" zoomScaleNormal="70" workbookViewId="0">
      <selection activeCell="E35" sqref="E35"/>
    </sheetView>
  </sheetViews>
  <sheetFormatPr defaultRowHeight="14.4" x14ac:dyDescent="0.3"/>
  <cols>
    <col min="3" max="3" width="82" style="1" customWidth="1"/>
    <col min="4" max="4" width="92" style="1" customWidth="1"/>
    <col min="5" max="5" width="33.33203125" customWidth="1"/>
  </cols>
  <sheetData>
    <row r="1" spans="1:5" x14ac:dyDescent="0.3">
      <c r="A1" t="s">
        <v>51</v>
      </c>
      <c r="C1" s="1" t="s">
        <v>64</v>
      </c>
    </row>
    <row r="2" spans="1:5" x14ac:dyDescent="0.3">
      <c r="A2" t="s">
        <v>52</v>
      </c>
      <c r="C2" s="1">
        <v>2023</v>
      </c>
    </row>
    <row r="4" spans="1:5" x14ac:dyDescent="0.3">
      <c r="A4" t="s">
        <v>0</v>
      </c>
      <c r="B4" t="s">
        <v>1</v>
      </c>
      <c r="C4" s="1" t="s">
        <v>2</v>
      </c>
      <c r="D4" s="1" t="s">
        <v>3</v>
      </c>
      <c r="E4" t="s">
        <v>4</v>
      </c>
    </row>
    <row r="5" spans="1:5" x14ac:dyDescent="0.3">
      <c r="A5">
        <v>1</v>
      </c>
      <c r="B5" t="s">
        <v>5</v>
      </c>
      <c r="C5" s="1" t="s">
        <v>6</v>
      </c>
      <c r="D5" s="1" t="s">
        <v>96</v>
      </c>
      <c r="E5" t="s">
        <v>65</v>
      </c>
    </row>
    <row r="6" spans="1:5" ht="28.8" x14ac:dyDescent="0.3">
      <c r="A6">
        <v>2</v>
      </c>
      <c r="B6" t="s">
        <v>5</v>
      </c>
      <c r="C6" s="1" t="s">
        <v>7</v>
      </c>
      <c r="D6" s="1" t="s">
        <v>66</v>
      </c>
      <c r="E6" t="s">
        <v>67</v>
      </c>
    </row>
    <row r="7" spans="1:5" ht="28.8" x14ac:dyDescent="0.3">
      <c r="A7">
        <v>3</v>
      </c>
      <c r="B7" t="s">
        <v>5</v>
      </c>
      <c r="C7" s="1" t="s">
        <v>8</v>
      </c>
      <c r="D7" s="1" t="s">
        <v>97</v>
      </c>
      <c r="E7" t="s">
        <v>98</v>
      </c>
    </row>
    <row r="8" spans="1:5" x14ac:dyDescent="0.3">
      <c r="A8">
        <v>4</v>
      </c>
      <c r="B8" t="s">
        <v>5</v>
      </c>
      <c r="C8" s="1" t="s">
        <v>60</v>
      </c>
      <c r="D8" s="1" t="s">
        <v>99</v>
      </c>
      <c r="E8" t="s">
        <v>68</v>
      </c>
    </row>
    <row r="9" spans="1:5" ht="43.2" x14ac:dyDescent="0.3">
      <c r="A9">
        <v>5</v>
      </c>
      <c r="B9" t="s">
        <v>5</v>
      </c>
      <c r="C9" s="1" t="s">
        <v>9</v>
      </c>
      <c r="D9" s="1" t="s">
        <v>147</v>
      </c>
      <c r="E9" t="s">
        <v>148</v>
      </c>
    </row>
    <row r="10" spans="1:5" ht="28.8" x14ac:dyDescent="0.3">
      <c r="A10">
        <v>6</v>
      </c>
      <c r="B10" t="s">
        <v>5</v>
      </c>
      <c r="C10" s="1" t="s">
        <v>10</v>
      </c>
      <c r="D10" s="1" t="s">
        <v>69</v>
      </c>
      <c r="E10" t="s">
        <v>101</v>
      </c>
    </row>
    <row r="11" spans="1:5" ht="28.8" x14ac:dyDescent="0.3">
      <c r="A11">
        <v>7</v>
      </c>
      <c r="B11" t="s">
        <v>5</v>
      </c>
      <c r="C11" s="1" t="s">
        <v>11</v>
      </c>
      <c r="D11" s="1" t="s">
        <v>102</v>
      </c>
      <c r="E11" t="s">
        <v>71</v>
      </c>
    </row>
    <row r="12" spans="1:5" ht="57.6" x14ac:dyDescent="0.3">
      <c r="A12">
        <v>8</v>
      </c>
      <c r="B12" t="s">
        <v>5</v>
      </c>
      <c r="C12" s="1" t="s">
        <v>12</v>
      </c>
      <c r="D12" s="1" t="s">
        <v>103</v>
      </c>
      <c r="E12" t="s">
        <v>70</v>
      </c>
    </row>
    <row r="13" spans="1:5" ht="72" x14ac:dyDescent="0.3">
      <c r="A13">
        <v>9</v>
      </c>
      <c r="B13" t="s">
        <v>5</v>
      </c>
      <c r="C13" s="1" t="s">
        <v>61</v>
      </c>
      <c r="D13" s="1" t="s">
        <v>72</v>
      </c>
      <c r="E13" t="s">
        <v>73</v>
      </c>
    </row>
    <row r="14" spans="1:5" ht="28.8" x14ac:dyDescent="0.3">
      <c r="A14">
        <v>10</v>
      </c>
      <c r="B14" t="s">
        <v>5</v>
      </c>
      <c r="C14" s="1" t="s">
        <v>13</v>
      </c>
      <c r="D14" s="1" t="s">
        <v>104</v>
      </c>
      <c r="E14" t="s">
        <v>105</v>
      </c>
    </row>
    <row r="15" spans="1:5" x14ac:dyDescent="0.3">
      <c r="A15">
        <v>11</v>
      </c>
      <c r="B15" t="s">
        <v>14</v>
      </c>
      <c r="C15" s="1" t="s">
        <v>15</v>
      </c>
      <c r="D15" s="1" t="s">
        <v>75</v>
      </c>
      <c r="E15" t="s">
        <v>74</v>
      </c>
    </row>
    <row r="16" spans="1:5" x14ac:dyDescent="0.3">
      <c r="A16">
        <v>12</v>
      </c>
      <c r="B16" t="s">
        <v>14</v>
      </c>
      <c r="C16" s="1" t="s">
        <v>16</v>
      </c>
      <c r="D16" s="1" t="s">
        <v>76</v>
      </c>
      <c r="E16" t="s">
        <v>106</v>
      </c>
    </row>
    <row r="17" spans="1:5" x14ac:dyDescent="0.3">
      <c r="A17">
        <v>13</v>
      </c>
      <c r="B17" t="s">
        <v>14</v>
      </c>
      <c r="C17" s="1" t="s">
        <v>17</v>
      </c>
      <c r="D17" s="1" t="s">
        <v>107</v>
      </c>
      <c r="E17" t="s">
        <v>106</v>
      </c>
    </row>
    <row r="18" spans="1:5" x14ac:dyDescent="0.3">
      <c r="A18">
        <v>14</v>
      </c>
      <c r="B18" t="s">
        <v>14</v>
      </c>
      <c r="C18" s="1" t="s">
        <v>18</v>
      </c>
      <c r="D18" s="1" t="s">
        <v>108</v>
      </c>
      <c r="E18" t="s">
        <v>106</v>
      </c>
    </row>
    <row r="19" spans="1:5" x14ac:dyDescent="0.3">
      <c r="A19">
        <v>15</v>
      </c>
      <c r="B19" t="s">
        <v>14</v>
      </c>
      <c r="C19" s="1" t="s">
        <v>19</v>
      </c>
      <c r="D19" s="1" t="s">
        <v>77</v>
      </c>
      <c r="E19" t="s">
        <v>74</v>
      </c>
    </row>
    <row r="20" spans="1:5" x14ac:dyDescent="0.3">
      <c r="A20">
        <v>16</v>
      </c>
      <c r="B20" t="s">
        <v>14</v>
      </c>
      <c r="C20" s="1" t="s">
        <v>20</v>
      </c>
      <c r="D20" s="1" t="s">
        <v>109</v>
      </c>
      <c r="E20" t="s">
        <v>74</v>
      </c>
    </row>
    <row r="21" spans="1:5" x14ac:dyDescent="0.3">
      <c r="A21">
        <v>17</v>
      </c>
      <c r="B21" t="s">
        <v>14</v>
      </c>
      <c r="C21" s="1" t="s">
        <v>21</v>
      </c>
    </row>
    <row r="22" spans="1:5" x14ac:dyDescent="0.3">
      <c r="A22">
        <v>18</v>
      </c>
      <c r="B22" t="s">
        <v>14</v>
      </c>
      <c r="C22" s="1" t="s">
        <v>22</v>
      </c>
      <c r="D22" s="1" t="s">
        <v>110</v>
      </c>
      <c r="E22" t="s">
        <v>111</v>
      </c>
    </row>
    <row r="23" spans="1:5" x14ac:dyDescent="0.3">
      <c r="A23">
        <v>19</v>
      </c>
      <c r="B23" t="s">
        <v>14</v>
      </c>
      <c r="C23" s="1" t="s">
        <v>23</v>
      </c>
      <c r="D23" s="1" t="s">
        <v>79</v>
      </c>
      <c r="E23" t="s">
        <v>74</v>
      </c>
    </row>
    <row r="24" spans="1:5" ht="28.8" x14ac:dyDescent="0.3">
      <c r="A24">
        <v>20</v>
      </c>
      <c r="B24" t="s">
        <v>14</v>
      </c>
      <c r="C24" s="1" t="s">
        <v>24</v>
      </c>
      <c r="D24" s="1" t="s">
        <v>80</v>
      </c>
      <c r="E24" t="s">
        <v>78</v>
      </c>
    </row>
    <row r="25" spans="1:5" ht="28.8" x14ac:dyDescent="0.3">
      <c r="A25">
        <v>21</v>
      </c>
      <c r="B25" t="s">
        <v>25</v>
      </c>
      <c r="C25" s="1" t="s">
        <v>26</v>
      </c>
      <c r="D25" s="1" t="s">
        <v>149</v>
      </c>
      <c r="E25" t="s">
        <v>78</v>
      </c>
    </row>
    <row r="26" spans="1:5" x14ac:dyDescent="0.3">
      <c r="A26">
        <v>22</v>
      </c>
      <c r="B26" t="s">
        <v>25</v>
      </c>
      <c r="C26" s="1" t="s">
        <v>27</v>
      </c>
      <c r="D26" s="1" t="s">
        <v>150</v>
      </c>
      <c r="E26" t="s">
        <v>151</v>
      </c>
    </row>
    <row r="27" spans="1:5" ht="28.8" x14ac:dyDescent="0.3">
      <c r="A27">
        <v>23</v>
      </c>
      <c r="B27" t="s">
        <v>25</v>
      </c>
      <c r="C27" s="1" t="s">
        <v>28</v>
      </c>
      <c r="D27" s="1" t="s">
        <v>152</v>
      </c>
      <c r="E27" t="s">
        <v>111</v>
      </c>
    </row>
    <row r="28" spans="1:5" x14ac:dyDescent="0.3">
      <c r="A28">
        <v>24</v>
      </c>
      <c r="B28" t="s">
        <v>25</v>
      </c>
      <c r="C28" s="1" t="s">
        <v>29</v>
      </c>
      <c r="D28" s="1" t="s">
        <v>153</v>
      </c>
      <c r="E28" t="s">
        <v>100</v>
      </c>
    </row>
    <row r="29" spans="1:5" x14ac:dyDescent="0.3">
      <c r="A29">
        <v>25</v>
      </c>
      <c r="B29" t="s">
        <v>25</v>
      </c>
      <c r="C29" s="1" t="s">
        <v>30</v>
      </c>
      <c r="D29" s="1" t="s">
        <v>154</v>
      </c>
      <c r="E29" t="s">
        <v>155</v>
      </c>
    </row>
    <row r="30" spans="1:5" ht="72" x14ac:dyDescent="0.3">
      <c r="A30">
        <v>26</v>
      </c>
      <c r="B30" t="s">
        <v>31</v>
      </c>
      <c r="C30" s="1" t="s">
        <v>32</v>
      </c>
      <c r="D30" s="1" t="s">
        <v>156</v>
      </c>
      <c r="E30" t="s">
        <v>112</v>
      </c>
    </row>
    <row r="31" spans="1:5" ht="72" x14ac:dyDescent="0.3">
      <c r="A31">
        <v>27</v>
      </c>
      <c r="B31" t="s">
        <v>31</v>
      </c>
      <c r="C31" s="1" t="s">
        <v>33</v>
      </c>
      <c r="D31" s="2" t="s">
        <v>113</v>
      </c>
      <c r="E31" t="s">
        <v>81</v>
      </c>
    </row>
    <row r="32" spans="1:5" ht="28.8" x14ac:dyDescent="0.3">
      <c r="A32">
        <v>28</v>
      </c>
      <c r="B32" t="s">
        <v>31</v>
      </c>
      <c r="C32" s="1" t="s">
        <v>34</v>
      </c>
      <c r="D32" s="1" t="s">
        <v>157</v>
      </c>
      <c r="E32" t="s">
        <v>158</v>
      </c>
    </row>
    <row r="33" spans="1:5" ht="28.8" x14ac:dyDescent="0.3">
      <c r="A33">
        <v>29</v>
      </c>
      <c r="B33" t="s">
        <v>31</v>
      </c>
      <c r="C33" s="1" t="s">
        <v>35</v>
      </c>
      <c r="D33" s="1" t="s">
        <v>159</v>
      </c>
      <c r="E33" t="s">
        <v>160</v>
      </c>
    </row>
    <row r="34" spans="1:5" ht="28.8" x14ac:dyDescent="0.3">
      <c r="A34">
        <v>30</v>
      </c>
      <c r="B34" t="s">
        <v>31</v>
      </c>
      <c r="C34" s="1" t="s">
        <v>36</v>
      </c>
      <c r="D34" s="1" t="s">
        <v>161</v>
      </c>
      <c r="E34" t="s">
        <v>162</v>
      </c>
    </row>
    <row r="35" spans="1:5" ht="43.2" x14ac:dyDescent="0.3">
      <c r="A35">
        <v>31</v>
      </c>
      <c r="C35" s="1" t="s">
        <v>114</v>
      </c>
      <c r="D35" s="1" t="s">
        <v>115</v>
      </c>
      <c r="E35" t="s">
        <v>116</v>
      </c>
    </row>
    <row r="36" spans="1:5" ht="28.8" x14ac:dyDescent="0.3">
      <c r="A36">
        <v>32</v>
      </c>
      <c r="C36" s="1" t="s">
        <v>117</v>
      </c>
      <c r="D36" s="1" t="s">
        <v>119</v>
      </c>
      <c r="E36" t="s">
        <v>118</v>
      </c>
    </row>
    <row r="37" spans="1:5" ht="28.8" x14ac:dyDescent="0.3">
      <c r="A37">
        <v>33</v>
      </c>
      <c r="C37" s="1" t="s">
        <v>120</v>
      </c>
      <c r="D37" s="1" t="s">
        <v>121</v>
      </c>
      <c r="E37" t="s">
        <v>122</v>
      </c>
    </row>
    <row r="38" spans="1:5" ht="28.8" x14ac:dyDescent="0.3">
      <c r="A38">
        <v>34</v>
      </c>
      <c r="C38" s="1" t="s">
        <v>123</v>
      </c>
      <c r="D38" s="1" t="s">
        <v>124</v>
      </c>
      <c r="E38" t="s">
        <v>125</v>
      </c>
    </row>
    <row r="39" spans="1:5" ht="57.6" x14ac:dyDescent="0.3">
      <c r="A39">
        <v>35</v>
      </c>
      <c r="C39" s="1" t="s">
        <v>126</v>
      </c>
      <c r="D39" s="1" t="s">
        <v>127</v>
      </c>
      <c r="E39" t="s">
        <v>128</v>
      </c>
    </row>
  </sheetData>
  <phoneticPr fontId="1" type="noConversion"/>
  <pageMargins left="0.75" right="0.75" top="1" bottom="1" header="0.5" footer="0.5"/>
  <headerFooter>
    <oddHeader>&amp;C&amp;"Aptos"&amp;10&amp;K000000 Official (Closed) \ Sensitive Normal&amp;1#_x000D_</oddHead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E22AB-4309-43B1-90EE-A79C3AEEB18C}">
  <dimension ref="A2:H41"/>
  <sheetViews>
    <sheetView topLeftCell="A36" zoomScale="62" zoomScaleNormal="50" workbookViewId="0">
      <selection activeCell="H12" sqref="H12"/>
    </sheetView>
  </sheetViews>
  <sheetFormatPr defaultRowHeight="14.4" x14ac:dyDescent="0.3"/>
  <cols>
    <col min="1" max="1" width="22.109375" style="3" customWidth="1"/>
    <col min="2" max="2" width="23.44140625" style="3" customWidth="1"/>
    <col min="3" max="3" width="99.33203125" style="3" customWidth="1"/>
    <col min="4" max="4" width="22.33203125" style="3" customWidth="1"/>
    <col min="5" max="5" width="19.6640625" style="3" customWidth="1"/>
    <col min="6" max="6" width="76.33203125" style="3" customWidth="1"/>
    <col min="7" max="8" width="41" style="3" customWidth="1"/>
    <col min="9" max="9" width="41" customWidth="1"/>
  </cols>
  <sheetData>
    <row r="2" spans="1:8" x14ac:dyDescent="0.3">
      <c r="A2" s="3" t="s">
        <v>58</v>
      </c>
      <c r="B2" s="3" t="s">
        <v>59</v>
      </c>
    </row>
    <row r="4" spans="1:8" x14ac:dyDescent="0.3">
      <c r="A4" s="3" t="s">
        <v>0</v>
      </c>
      <c r="B4" s="3" t="s">
        <v>1</v>
      </c>
      <c r="C4" s="3" t="s">
        <v>2</v>
      </c>
      <c r="D4" s="3" t="s">
        <v>53</v>
      </c>
      <c r="E4" s="3" t="s">
        <v>54</v>
      </c>
      <c r="F4" s="3" t="s">
        <v>55</v>
      </c>
      <c r="G4" s="3" t="s">
        <v>56</v>
      </c>
      <c r="H4" s="3" t="s">
        <v>57</v>
      </c>
    </row>
    <row r="5" spans="1:8" x14ac:dyDescent="0.3">
      <c r="A5" s="3">
        <v>1</v>
      </c>
      <c r="B5" s="3" t="s">
        <v>5</v>
      </c>
      <c r="C5" s="3" t="s">
        <v>6</v>
      </c>
      <c r="F5" s="5" t="s">
        <v>132</v>
      </c>
      <c r="G5" s="3">
        <v>2</v>
      </c>
    </row>
    <row r="6" spans="1:8" ht="28.8" x14ac:dyDescent="0.3">
      <c r="A6" s="3">
        <v>2</v>
      </c>
      <c r="B6" s="3" t="s">
        <v>5</v>
      </c>
      <c r="C6" s="3" t="s">
        <v>7</v>
      </c>
      <c r="F6" s="5" t="s">
        <v>84</v>
      </c>
      <c r="G6" s="3">
        <v>2</v>
      </c>
    </row>
    <row r="7" spans="1:8" x14ac:dyDescent="0.3">
      <c r="A7" s="3">
        <v>3</v>
      </c>
      <c r="B7" s="3" t="s">
        <v>5</v>
      </c>
      <c r="C7" s="3" t="s">
        <v>8</v>
      </c>
      <c r="F7" s="5" t="s">
        <v>63</v>
      </c>
      <c r="G7" s="3">
        <v>0</v>
      </c>
    </row>
    <row r="8" spans="1:8" ht="28.8" x14ac:dyDescent="0.3">
      <c r="A8" s="3">
        <v>4</v>
      </c>
      <c r="B8" s="3" t="s">
        <v>5</v>
      </c>
      <c r="C8" s="3" t="s">
        <v>60</v>
      </c>
      <c r="F8" s="5" t="s">
        <v>133</v>
      </c>
      <c r="G8" s="3">
        <v>0</v>
      </c>
    </row>
    <row r="9" spans="1:8" ht="28.8" x14ac:dyDescent="0.3">
      <c r="A9" s="3">
        <v>5</v>
      </c>
      <c r="B9" s="3" t="s">
        <v>5</v>
      </c>
      <c r="C9" s="3" t="s">
        <v>9</v>
      </c>
      <c r="F9" s="5" t="s">
        <v>134</v>
      </c>
      <c r="G9" s="3">
        <v>0</v>
      </c>
    </row>
    <row r="10" spans="1:8" ht="72" x14ac:dyDescent="0.3">
      <c r="A10" s="3">
        <v>6</v>
      </c>
      <c r="B10" s="3" t="s">
        <v>5</v>
      </c>
      <c r="C10" s="3" t="s">
        <v>10</v>
      </c>
      <c r="F10" s="7" t="s">
        <v>86</v>
      </c>
      <c r="G10" s="3">
        <v>0</v>
      </c>
    </row>
    <row r="11" spans="1:8" ht="115.2" x14ac:dyDescent="0.3">
      <c r="A11" s="3">
        <v>7</v>
      </c>
      <c r="B11" s="3" t="s">
        <v>5</v>
      </c>
      <c r="C11" s="3" t="s">
        <v>11</v>
      </c>
      <c r="F11" s="7" t="s">
        <v>135</v>
      </c>
      <c r="G11" s="3">
        <v>1</v>
      </c>
    </row>
    <row r="12" spans="1:8" ht="100.8" x14ac:dyDescent="0.3">
      <c r="A12" s="3">
        <v>8</v>
      </c>
      <c r="B12" s="3" t="s">
        <v>5</v>
      </c>
      <c r="C12" s="3" t="s">
        <v>12</v>
      </c>
      <c r="F12" s="7" t="s">
        <v>136</v>
      </c>
      <c r="G12" s="3">
        <v>0</v>
      </c>
    </row>
    <row r="13" spans="1:8" ht="244.8" x14ac:dyDescent="0.3">
      <c r="A13" s="3">
        <v>9</v>
      </c>
      <c r="B13" s="3" t="s">
        <v>5</v>
      </c>
      <c r="C13" s="3" t="s">
        <v>61</v>
      </c>
      <c r="F13" s="7" t="s">
        <v>137</v>
      </c>
      <c r="G13" s="3">
        <v>1</v>
      </c>
    </row>
    <row r="14" spans="1:8" ht="43.2" x14ac:dyDescent="0.3">
      <c r="A14" s="3">
        <v>10</v>
      </c>
      <c r="B14" s="3" t="s">
        <v>5</v>
      </c>
      <c r="C14" s="3" t="s">
        <v>13</v>
      </c>
      <c r="F14" s="7" t="s">
        <v>138</v>
      </c>
      <c r="G14" s="3">
        <v>2</v>
      </c>
    </row>
    <row r="15" spans="1:8" x14ac:dyDescent="0.3">
      <c r="A15" s="3">
        <v>11</v>
      </c>
      <c r="B15" s="3" t="s">
        <v>14</v>
      </c>
      <c r="C15" s="3" t="s">
        <v>15</v>
      </c>
      <c r="F15" s="5" t="s">
        <v>63</v>
      </c>
      <c r="G15" s="3">
        <v>0</v>
      </c>
    </row>
    <row r="16" spans="1:8" x14ac:dyDescent="0.3">
      <c r="A16" s="3">
        <v>12</v>
      </c>
      <c r="B16" s="3" t="s">
        <v>14</v>
      </c>
      <c r="C16" s="3" t="s">
        <v>16</v>
      </c>
      <c r="F16" s="5" t="s">
        <v>63</v>
      </c>
      <c r="G16" s="3">
        <v>0</v>
      </c>
    </row>
    <row r="17" spans="1:7" x14ac:dyDescent="0.3">
      <c r="A17" s="3">
        <v>13</v>
      </c>
      <c r="B17" s="3" t="s">
        <v>14</v>
      </c>
      <c r="C17" s="3" t="s">
        <v>17</v>
      </c>
      <c r="F17" s="5" t="s">
        <v>63</v>
      </c>
      <c r="G17" s="3">
        <v>0</v>
      </c>
    </row>
    <row r="18" spans="1:7" x14ac:dyDescent="0.3">
      <c r="A18" s="3">
        <v>14</v>
      </c>
      <c r="B18" s="3" t="s">
        <v>14</v>
      </c>
      <c r="C18" s="3" t="s">
        <v>18</v>
      </c>
      <c r="F18" s="5" t="s">
        <v>63</v>
      </c>
      <c r="G18" s="3">
        <v>0</v>
      </c>
    </row>
    <row r="19" spans="1:7" x14ac:dyDescent="0.3">
      <c r="A19" s="3">
        <v>15</v>
      </c>
      <c r="B19" s="3" t="s">
        <v>14</v>
      </c>
      <c r="C19" s="3" t="s">
        <v>19</v>
      </c>
      <c r="F19" s="7" t="s">
        <v>139</v>
      </c>
      <c r="G19" s="3">
        <v>0</v>
      </c>
    </row>
    <row r="20" spans="1:7" ht="28.8" x14ac:dyDescent="0.3">
      <c r="A20" s="3">
        <v>16</v>
      </c>
      <c r="B20" s="3" t="s">
        <v>14</v>
      </c>
      <c r="C20" s="3" t="s">
        <v>20</v>
      </c>
      <c r="F20" s="7" t="s">
        <v>140</v>
      </c>
      <c r="G20" s="3">
        <v>1</v>
      </c>
    </row>
    <row r="21" spans="1:7" ht="129.6" x14ac:dyDescent="0.3">
      <c r="A21" s="3">
        <v>17</v>
      </c>
      <c r="B21" s="3" t="s">
        <v>14</v>
      </c>
      <c r="C21" s="3" t="s">
        <v>21</v>
      </c>
      <c r="F21" s="7" t="s">
        <v>141</v>
      </c>
      <c r="G21" s="3">
        <v>0</v>
      </c>
    </row>
    <row r="22" spans="1:7" ht="43.2" x14ac:dyDescent="0.3">
      <c r="A22" s="3">
        <v>18</v>
      </c>
      <c r="B22" s="3" t="s">
        <v>14</v>
      </c>
      <c r="C22" s="3" t="s">
        <v>22</v>
      </c>
      <c r="F22" s="7" t="s">
        <v>142</v>
      </c>
      <c r="G22" s="3">
        <v>0</v>
      </c>
    </row>
    <row r="23" spans="1:7" x14ac:dyDescent="0.3">
      <c r="A23" s="3">
        <v>19</v>
      </c>
      <c r="B23" s="3" t="s">
        <v>14</v>
      </c>
      <c r="C23" s="3" t="s">
        <v>23</v>
      </c>
      <c r="F23" s="5" t="s">
        <v>63</v>
      </c>
      <c r="G23" s="3">
        <v>0</v>
      </c>
    </row>
    <row r="24" spans="1:7" ht="100.8" x14ac:dyDescent="0.3">
      <c r="A24" s="3">
        <v>20</v>
      </c>
      <c r="B24" s="3" t="s">
        <v>14</v>
      </c>
      <c r="C24" s="3" t="s">
        <v>24</v>
      </c>
      <c r="F24" s="7" t="s">
        <v>143</v>
      </c>
      <c r="G24" s="3">
        <v>0</v>
      </c>
    </row>
    <row r="25" spans="1:7" x14ac:dyDescent="0.3">
      <c r="A25" s="3">
        <v>21</v>
      </c>
      <c r="B25" s="3" t="s">
        <v>25</v>
      </c>
      <c r="C25" s="3" t="s">
        <v>26</v>
      </c>
      <c r="F25" s="5" t="s">
        <v>63</v>
      </c>
      <c r="G25" s="3">
        <v>2</v>
      </c>
    </row>
    <row r="26" spans="1:7" x14ac:dyDescent="0.3">
      <c r="A26" s="3">
        <v>22</v>
      </c>
      <c r="B26" s="3" t="s">
        <v>25</v>
      </c>
      <c r="C26" s="3" t="s">
        <v>27</v>
      </c>
      <c r="F26" s="5" t="s">
        <v>63</v>
      </c>
      <c r="G26" s="3">
        <v>2</v>
      </c>
    </row>
    <row r="27" spans="1:7" x14ac:dyDescent="0.3">
      <c r="A27" s="3">
        <v>23</v>
      </c>
      <c r="B27" s="3" t="s">
        <v>25</v>
      </c>
      <c r="C27" s="3" t="s">
        <v>28</v>
      </c>
      <c r="F27" s="5" t="s">
        <v>63</v>
      </c>
      <c r="G27" s="3">
        <v>2</v>
      </c>
    </row>
    <row r="28" spans="1:7" x14ac:dyDescent="0.3">
      <c r="A28" s="3">
        <v>24</v>
      </c>
      <c r="B28" s="3" t="s">
        <v>25</v>
      </c>
      <c r="C28" s="3" t="s">
        <v>29</v>
      </c>
      <c r="F28" s="5" t="s">
        <v>63</v>
      </c>
      <c r="G28" s="3">
        <v>2</v>
      </c>
    </row>
    <row r="29" spans="1:7" x14ac:dyDescent="0.3">
      <c r="A29" s="3">
        <v>25</v>
      </c>
      <c r="B29" s="3" t="s">
        <v>25</v>
      </c>
      <c r="C29" s="3" t="s">
        <v>30</v>
      </c>
      <c r="F29" s="5" t="s">
        <v>63</v>
      </c>
      <c r="G29" s="3">
        <v>2</v>
      </c>
    </row>
    <row r="30" spans="1:7" ht="115.2" x14ac:dyDescent="0.3">
      <c r="A30" s="3">
        <v>26</v>
      </c>
      <c r="B30" s="3" t="s">
        <v>31</v>
      </c>
      <c r="C30" s="3" t="s">
        <v>32</v>
      </c>
      <c r="F30" s="7" t="s">
        <v>144</v>
      </c>
      <c r="G30" s="3">
        <v>1</v>
      </c>
    </row>
    <row r="31" spans="1:7" x14ac:dyDescent="0.3">
      <c r="A31" s="3">
        <v>27</v>
      </c>
      <c r="B31" s="3" t="s">
        <v>31</v>
      </c>
      <c r="C31" s="3" t="s">
        <v>33</v>
      </c>
      <c r="F31" s="6" t="s">
        <v>63</v>
      </c>
      <c r="G31" s="3">
        <v>0</v>
      </c>
    </row>
    <row r="32" spans="1:7" ht="43.2" x14ac:dyDescent="0.3">
      <c r="A32" s="3">
        <v>28</v>
      </c>
      <c r="B32" s="3" t="s">
        <v>31</v>
      </c>
      <c r="C32" s="3" t="s">
        <v>34</v>
      </c>
      <c r="F32" s="7" t="s">
        <v>83</v>
      </c>
      <c r="G32" s="3">
        <v>2</v>
      </c>
    </row>
    <row r="33" spans="1:8" x14ac:dyDescent="0.3">
      <c r="A33" s="3">
        <v>29</v>
      </c>
      <c r="B33" s="3" t="s">
        <v>31</v>
      </c>
      <c r="C33" s="3" t="s">
        <v>35</v>
      </c>
      <c r="F33" s="5" t="s">
        <v>63</v>
      </c>
      <c r="G33" s="3">
        <v>0</v>
      </c>
    </row>
    <row r="34" spans="1:8" x14ac:dyDescent="0.3">
      <c r="A34" s="3">
        <v>30</v>
      </c>
      <c r="B34" s="3" t="s">
        <v>31</v>
      </c>
      <c r="C34" s="3" t="s">
        <v>36</v>
      </c>
      <c r="F34" s="5" t="s">
        <v>63</v>
      </c>
      <c r="G34" s="3">
        <v>0</v>
      </c>
    </row>
    <row r="35" spans="1:8" x14ac:dyDescent="0.3">
      <c r="A35">
        <v>31</v>
      </c>
      <c r="B35"/>
      <c r="C35" t="s">
        <v>114</v>
      </c>
      <c r="F35" s="5" t="s">
        <v>63</v>
      </c>
      <c r="G35" s="3">
        <v>0</v>
      </c>
    </row>
    <row r="36" spans="1:8" ht="57.6" x14ac:dyDescent="0.3">
      <c r="A36">
        <v>32</v>
      </c>
      <c r="B36"/>
      <c r="C36" t="s">
        <v>117</v>
      </c>
      <c r="F36" s="7" t="s">
        <v>145</v>
      </c>
      <c r="G36" s="3">
        <v>2</v>
      </c>
    </row>
    <row r="37" spans="1:8" x14ac:dyDescent="0.3">
      <c r="A37">
        <v>33</v>
      </c>
      <c r="B37"/>
      <c r="C37" t="s">
        <v>120</v>
      </c>
      <c r="F37" s="5" t="s">
        <v>63</v>
      </c>
      <c r="G37" s="3">
        <v>0</v>
      </c>
    </row>
    <row r="38" spans="1:8" x14ac:dyDescent="0.3">
      <c r="A38">
        <v>34</v>
      </c>
      <c r="B38"/>
      <c r="C38" t="s">
        <v>123</v>
      </c>
      <c r="F38" s="7" t="s">
        <v>63</v>
      </c>
      <c r="G38" s="3">
        <v>0</v>
      </c>
    </row>
    <row r="39" spans="1:8" ht="57.6" x14ac:dyDescent="0.3">
      <c r="A39">
        <v>35</v>
      </c>
      <c r="B39"/>
      <c r="C39" t="s">
        <v>126</v>
      </c>
      <c r="F39" s="7" t="s">
        <v>146</v>
      </c>
      <c r="G39" s="3">
        <v>2</v>
      </c>
    </row>
    <row r="41" spans="1:8" x14ac:dyDescent="0.3">
      <c r="F41" s="9" t="s">
        <v>164</v>
      </c>
      <c r="G41" s="8">
        <f>SUM(G5:G39)</f>
        <v>26</v>
      </c>
      <c r="H41" s="8" t="s">
        <v>165</v>
      </c>
    </row>
  </sheetData>
  <conditionalFormatting sqref="E5:E34">
    <cfRule type="colorScale" priority="1">
      <colorScale>
        <cfvo type="num" val="0"/>
        <cfvo type="num" val="1"/>
        <cfvo type="num" val="2"/>
        <color rgb="FFFF6347"/>
        <color rgb="FFFFF59D"/>
        <color rgb="FF81C784"/>
      </colorScale>
    </cfRule>
  </conditionalFormatting>
  <conditionalFormatting sqref="G5:G39">
    <cfRule type="colorScale" priority="2">
      <colorScale>
        <cfvo type="num" val="0"/>
        <cfvo type="num" val="1"/>
        <cfvo type="num" val="2"/>
        <color rgb="FFFF6347"/>
        <color rgb="FFFFF59D"/>
        <color rgb="FF81C784"/>
      </colorScale>
    </cfRule>
  </conditionalFormatting>
  <dataValidations count="2">
    <dataValidation type="list" allowBlank="1" showInputMessage="1" showErrorMessage="1" sqref="E5:E34 G5:G39" xr:uid="{27A54858-A367-4342-BE33-4388515E38C3}">
      <formula1>"0,1,2"</formula1>
    </dataValidation>
    <dataValidation type="list" allowBlank="1" showInputMessage="1" showErrorMessage="1" sqref="D5:D34" xr:uid="{BD809C5F-33CA-43F4-960F-766AB62F53DB}">
      <formula1>"Y,N"</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B74E-CE89-425C-BDC4-510F27640A19}">
  <dimension ref="A2:H41"/>
  <sheetViews>
    <sheetView topLeftCell="B29" zoomScale="60" zoomScaleNormal="60" workbookViewId="0">
      <selection activeCell="E46" sqref="E46"/>
    </sheetView>
  </sheetViews>
  <sheetFormatPr defaultRowHeight="14.4" x14ac:dyDescent="0.3"/>
  <cols>
    <col min="1" max="1" width="10.88671875" style="3" customWidth="1"/>
    <col min="2" max="2" width="10.109375" style="3" customWidth="1"/>
    <col min="3" max="3" width="90.33203125" style="10" customWidth="1"/>
    <col min="4" max="4" width="24" style="3" customWidth="1"/>
    <col min="5" max="5" width="20.88671875" style="3" customWidth="1"/>
    <col min="6" max="6" width="78.5546875" style="10" customWidth="1"/>
    <col min="7" max="7" width="19.109375" style="3" customWidth="1"/>
    <col min="8" max="8" width="41" style="3" customWidth="1"/>
    <col min="9" max="9" width="41" customWidth="1"/>
  </cols>
  <sheetData>
    <row r="2" spans="1:8" x14ac:dyDescent="0.3">
      <c r="A2" s="16" t="s">
        <v>58</v>
      </c>
      <c r="B2" s="16"/>
      <c r="C2" s="10" t="s">
        <v>131</v>
      </c>
    </row>
    <row r="4" spans="1:8" x14ac:dyDescent="0.3">
      <c r="A4" s="3" t="s">
        <v>0</v>
      </c>
      <c r="B4" s="3" t="s">
        <v>1</v>
      </c>
      <c r="C4" s="10" t="s">
        <v>2</v>
      </c>
      <c r="D4" s="3" t="s">
        <v>53</v>
      </c>
      <c r="E4" s="3" t="s">
        <v>54</v>
      </c>
      <c r="F4" s="10" t="s">
        <v>55</v>
      </c>
      <c r="G4" s="3" t="s">
        <v>56</v>
      </c>
      <c r="H4" s="3" t="s">
        <v>57</v>
      </c>
    </row>
    <row r="5" spans="1:8" x14ac:dyDescent="0.3">
      <c r="A5" s="3">
        <v>1</v>
      </c>
      <c r="B5" s="3" t="s">
        <v>5</v>
      </c>
      <c r="C5" s="10" t="s">
        <v>6</v>
      </c>
      <c r="F5" s="10" t="s">
        <v>82</v>
      </c>
      <c r="G5" s="3">
        <v>2</v>
      </c>
    </row>
    <row r="6" spans="1:8" ht="28.8" x14ac:dyDescent="0.3">
      <c r="A6" s="3">
        <v>2</v>
      </c>
      <c r="B6" s="3" t="s">
        <v>5</v>
      </c>
      <c r="C6" s="10" t="s">
        <v>7</v>
      </c>
      <c r="F6" s="10" t="s">
        <v>84</v>
      </c>
      <c r="G6" s="3">
        <v>2</v>
      </c>
    </row>
    <row r="7" spans="1:8" x14ac:dyDescent="0.3">
      <c r="A7" s="3">
        <v>3</v>
      </c>
      <c r="B7" s="3" t="s">
        <v>5</v>
      </c>
      <c r="C7" s="10" t="s">
        <v>8</v>
      </c>
      <c r="F7" s="10" t="s">
        <v>63</v>
      </c>
      <c r="G7" s="3">
        <v>0</v>
      </c>
    </row>
    <row r="8" spans="1:8" x14ac:dyDescent="0.3">
      <c r="A8" s="3">
        <v>4</v>
      </c>
      <c r="B8" s="3" t="s">
        <v>5</v>
      </c>
      <c r="C8" s="10" t="s">
        <v>60</v>
      </c>
      <c r="F8" s="10" t="s">
        <v>63</v>
      </c>
      <c r="G8" s="3">
        <v>0</v>
      </c>
    </row>
    <row r="9" spans="1:8" ht="28.8" x14ac:dyDescent="0.3">
      <c r="A9" s="3">
        <v>5</v>
      </c>
      <c r="B9" s="3" t="s">
        <v>5</v>
      </c>
      <c r="C9" s="10" t="s">
        <v>9</v>
      </c>
      <c r="F9" s="10" t="s">
        <v>85</v>
      </c>
      <c r="G9" s="3">
        <v>2</v>
      </c>
    </row>
    <row r="10" spans="1:8" ht="57.6" x14ac:dyDescent="0.3">
      <c r="A10" s="3">
        <v>6</v>
      </c>
      <c r="B10" s="3" t="s">
        <v>5</v>
      </c>
      <c r="C10" s="10" t="s">
        <v>10</v>
      </c>
      <c r="F10" s="10" t="s">
        <v>86</v>
      </c>
      <c r="G10" s="3">
        <v>0</v>
      </c>
    </row>
    <row r="11" spans="1:8" ht="86.4" x14ac:dyDescent="0.3">
      <c r="A11" s="3">
        <v>7</v>
      </c>
      <c r="B11" s="3" t="s">
        <v>5</v>
      </c>
      <c r="C11" s="10" t="s">
        <v>11</v>
      </c>
      <c r="F11" s="10" t="s">
        <v>87</v>
      </c>
      <c r="G11" s="3">
        <v>0</v>
      </c>
    </row>
    <row r="12" spans="1:8" ht="129.6" x14ac:dyDescent="0.3">
      <c r="A12" s="3">
        <v>8</v>
      </c>
      <c r="B12" s="3" t="s">
        <v>5</v>
      </c>
      <c r="C12" s="10" t="s">
        <v>12</v>
      </c>
      <c r="F12" s="10" t="s">
        <v>88</v>
      </c>
      <c r="G12" s="3">
        <v>1</v>
      </c>
    </row>
    <row r="13" spans="1:8" ht="144" x14ac:dyDescent="0.3">
      <c r="A13" s="3">
        <v>9</v>
      </c>
      <c r="B13" s="3" t="s">
        <v>5</v>
      </c>
      <c r="C13" s="10" t="s">
        <v>61</v>
      </c>
      <c r="F13" s="10" t="s">
        <v>89</v>
      </c>
      <c r="G13" s="3">
        <v>1</v>
      </c>
    </row>
    <row r="14" spans="1:8" ht="43.2" x14ac:dyDescent="0.3">
      <c r="A14" s="3">
        <v>10</v>
      </c>
      <c r="B14" s="3" t="s">
        <v>5</v>
      </c>
      <c r="C14" s="10" t="s">
        <v>13</v>
      </c>
      <c r="F14" s="10" t="s">
        <v>90</v>
      </c>
      <c r="G14" s="3">
        <v>2</v>
      </c>
    </row>
    <row r="15" spans="1:8" x14ac:dyDescent="0.3">
      <c r="A15" s="3">
        <v>11</v>
      </c>
      <c r="B15" s="3" t="s">
        <v>14</v>
      </c>
      <c r="C15" s="10" t="s">
        <v>15</v>
      </c>
      <c r="F15" s="10" t="s">
        <v>63</v>
      </c>
      <c r="G15" s="3">
        <v>0</v>
      </c>
    </row>
    <row r="16" spans="1:8" x14ac:dyDescent="0.3">
      <c r="A16" s="3">
        <v>12</v>
      </c>
      <c r="B16" s="3" t="s">
        <v>14</v>
      </c>
      <c r="C16" s="10" t="s">
        <v>16</v>
      </c>
      <c r="F16" s="10" t="s">
        <v>63</v>
      </c>
      <c r="G16" s="3">
        <v>0</v>
      </c>
    </row>
    <row r="17" spans="1:7" x14ac:dyDescent="0.3">
      <c r="A17" s="3">
        <v>13</v>
      </c>
      <c r="B17" s="3" t="s">
        <v>14</v>
      </c>
      <c r="C17" s="10" t="s">
        <v>17</v>
      </c>
      <c r="F17" s="10" t="s">
        <v>63</v>
      </c>
      <c r="G17" s="3">
        <v>0</v>
      </c>
    </row>
    <row r="18" spans="1:7" x14ac:dyDescent="0.3">
      <c r="A18" s="3">
        <v>14</v>
      </c>
      <c r="B18" s="3" t="s">
        <v>14</v>
      </c>
      <c r="C18" s="10" t="s">
        <v>18</v>
      </c>
      <c r="F18" s="10" t="s">
        <v>63</v>
      </c>
      <c r="G18" s="3">
        <v>0</v>
      </c>
    </row>
    <row r="19" spans="1:7" x14ac:dyDescent="0.3">
      <c r="A19" s="3">
        <v>15</v>
      </c>
      <c r="B19" s="3" t="s">
        <v>14</v>
      </c>
      <c r="C19" s="10" t="s">
        <v>19</v>
      </c>
      <c r="F19" s="11">
        <v>256276</v>
      </c>
      <c r="G19" s="3">
        <v>2</v>
      </c>
    </row>
    <row r="20" spans="1:7" x14ac:dyDescent="0.3">
      <c r="A20" s="3">
        <v>16</v>
      </c>
      <c r="B20" s="3" t="s">
        <v>14</v>
      </c>
      <c r="C20" s="10" t="s">
        <v>20</v>
      </c>
      <c r="F20" s="10" t="s">
        <v>63</v>
      </c>
      <c r="G20" s="3">
        <v>0</v>
      </c>
    </row>
    <row r="21" spans="1:7" x14ac:dyDescent="0.3">
      <c r="A21" s="3">
        <v>17</v>
      </c>
      <c r="B21" s="3" t="s">
        <v>14</v>
      </c>
      <c r="C21" s="10" t="s">
        <v>21</v>
      </c>
      <c r="F21" s="10" t="s">
        <v>63</v>
      </c>
      <c r="G21" s="3">
        <v>2</v>
      </c>
    </row>
    <row r="22" spans="1:7" ht="72" x14ac:dyDescent="0.3">
      <c r="A22" s="3">
        <v>18</v>
      </c>
      <c r="B22" s="3" t="s">
        <v>14</v>
      </c>
      <c r="C22" s="10" t="s">
        <v>22</v>
      </c>
      <c r="F22" s="10" t="s">
        <v>91</v>
      </c>
      <c r="G22" s="3">
        <v>0</v>
      </c>
    </row>
    <row r="23" spans="1:7" x14ac:dyDescent="0.3">
      <c r="A23" s="3">
        <v>19</v>
      </c>
      <c r="B23" s="3" t="s">
        <v>14</v>
      </c>
      <c r="C23" s="10" t="s">
        <v>23</v>
      </c>
      <c r="F23" s="10" t="s">
        <v>63</v>
      </c>
      <c r="G23" s="3">
        <v>0</v>
      </c>
    </row>
    <row r="24" spans="1:7" ht="100.8" x14ac:dyDescent="0.3">
      <c r="A24" s="3">
        <v>20</v>
      </c>
      <c r="B24" s="3" t="s">
        <v>14</v>
      </c>
      <c r="C24" s="10" t="s">
        <v>24</v>
      </c>
      <c r="F24" s="10" t="s">
        <v>92</v>
      </c>
      <c r="G24" s="3">
        <v>0</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x14ac:dyDescent="0.3">
      <c r="A29" s="3">
        <v>25</v>
      </c>
      <c r="B29" s="3" t="s">
        <v>25</v>
      </c>
      <c r="C29" s="10" t="s">
        <v>30</v>
      </c>
      <c r="F29" s="10" t="s">
        <v>63</v>
      </c>
      <c r="G29" s="3">
        <v>2</v>
      </c>
    </row>
    <row r="30" spans="1:7" ht="86.4" x14ac:dyDescent="0.3">
      <c r="A30" s="3">
        <v>26</v>
      </c>
      <c r="B30" s="3" t="s">
        <v>31</v>
      </c>
      <c r="C30" s="10" t="s">
        <v>32</v>
      </c>
      <c r="F30" s="10" t="s">
        <v>93</v>
      </c>
      <c r="G30" s="3">
        <v>1</v>
      </c>
    </row>
    <row r="31" spans="1:7" ht="72" x14ac:dyDescent="0.3">
      <c r="A31" s="3">
        <v>27</v>
      </c>
      <c r="B31" s="3" t="s">
        <v>31</v>
      </c>
      <c r="C31" s="10" t="s">
        <v>33</v>
      </c>
      <c r="F31" s="10" t="s">
        <v>94</v>
      </c>
      <c r="G31" s="3">
        <v>2</v>
      </c>
    </row>
    <row r="32" spans="1:7" ht="28.8" x14ac:dyDescent="0.3">
      <c r="A32" s="3">
        <v>28</v>
      </c>
      <c r="B32" s="3" t="s">
        <v>31</v>
      </c>
      <c r="C32" s="10" t="s">
        <v>34</v>
      </c>
      <c r="F32" s="10" t="s">
        <v>83</v>
      </c>
      <c r="G32" s="3">
        <v>2</v>
      </c>
    </row>
    <row r="33" spans="1:8" ht="57.6" x14ac:dyDescent="0.3">
      <c r="A33" s="3">
        <v>29</v>
      </c>
      <c r="B33" s="3" t="s">
        <v>31</v>
      </c>
      <c r="C33" s="10" t="s">
        <v>35</v>
      </c>
      <c r="F33" s="10" t="s">
        <v>95</v>
      </c>
      <c r="G33" s="3">
        <v>0</v>
      </c>
    </row>
    <row r="34" spans="1:8" x14ac:dyDescent="0.3">
      <c r="A34" s="3">
        <v>30</v>
      </c>
      <c r="B34" s="3" t="s">
        <v>31</v>
      </c>
      <c r="C34" s="10" t="s">
        <v>36</v>
      </c>
      <c r="F34" s="10" t="s">
        <v>63</v>
      </c>
      <c r="G34" s="3">
        <v>0</v>
      </c>
    </row>
    <row r="35" spans="1:8" ht="28.8" x14ac:dyDescent="0.3">
      <c r="A35">
        <v>31</v>
      </c>
      <c r="B35"/>
      <c r="C35" s="10" t="s">
        <v>114</v>
      </c>
      <c r="F35" s="12" t="s">
        <v>63</v>
      </c>
      <c r="G35" s="3">
        <v>0</v>
      </c>
    </row>
    <row r="36" spans="1:8" ht="57.6" x14ac:dyDescent="0.3">
      <c r="A36">
        <v>32</v>
      </c>
      <c r="B36"/>
      <c r="C36" s="10" t="s">
        <v>117</v>
      </c>
      <c r="F36" s="13" t="s">
        <v>145</v>
      </c>
      <c r="G36" s="3">
        <v>2</v>
      </c>
    </row>
    <row r="37" spans="1:8" ht="28.8" x14ac:dyDescent="0.3">
      <c r="A37">
        <v>33</v>
      </c>
      <c r="B37"/>
      <c r="C37" s="10" t="s">
        <v>120</v>
      </c>
      <c r="F37" s="12" t="s">
        <v>63</v>
      </c>
      <c r="G37" s="3">
        <v>0</v>
      </c>
    </row>
    <row r="38" spans="1:8" x14ac:dyDescent="0.3">
      <c r="A38">
        <v>34</v>
      </c>
      <c r="B38"/>
      <c r="C38" s="10" t="s">
        <v>123</v>
      </c>
      <c r="F38" s="13" t="s">
        <v>63</v>
      </c>
      <c r="G38" s="3">
        <v>0</v>
      </c>
    </row>
    <row r="39" spans="1:8" ht="57.6" x14ac:dyDescent="0.3">
      <c r="A39">
        <v>35</v>
      </c>
      <c r="B39"/>
      <c r="C39" s="10" t="s">
        <v>126</v>
      </c>
      <c r="F39" s="13" t="s">
        <v>146</v>
      </c>
      <c r="G39" s="3">
        <v>2</v>
      </c>
    </row>
    <row r="41" spans="1:8" x14ac:dyDescent="0.3">
      <c r="F41" s="14" t="s">
        <v>164</v>
      </c>
      <c r="G41" s="8">
        <f>SUM(G5:G39)</f>
        <v>33</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D5:D34" xr:uid="{06728FBD-1CC8-404F-83BC-3035334F865B}">
      <formula1>"Y,N"</formula1>
    </dataValidation>
    <dataValidation type="list" allowBlank="1" showInputMessage="1" showErrorMessage="1" sqref="E5:E34 G5:G39" xr:uid="{869BC640-9CDD-4334-89C7-15E38A504215}">
      <formula1>"0,1,2"</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48CF7-A118-40F9-95B9-01A3F0F77EF3}">
  <dimension ref="A2:H41"/>
  <sheetViews>
    <sheetView topLeftCell="C31" zoomScale="60" zoomScaleNormal="60" workbookViewId="0">
      <selection activeCell="G10" sqref="G10"/>
    </sheetView>
  </sheetViews>
  <sheetFormatPr defaultRowHeight="14.4" x14ac:dyDescent="0.3"/>
  <cols>
    <col min="1" max="1" width="7.88671875" style="3" customWidth="1"/>
    <col min="2" max="2" width="12" style="3" customWidth="1"/>
    <col min="3" max="3" width="90.33203125" style="4" customWidth="1"/>
    <col min="4" max="4" width="23.88671875" style="3" customWidth="1"/>
    <col min="5" max="5" width="20.88671875" style="3" customWidth="1"/>
    <col min="6" max="6" width="60.109375" style="3" customWidth="1"/>
    <col min="7" max="7" width="19.5546875" style="3" customWidth="1"/>
    <col min="8" max="8" width="41" style="3" customWidth="1"/>
    <col min="9" max="9" width="41" customWidth="1"/>
  </cols>
  <sheetData>
    <row r="2" spans="1:8" x14ac:dyDescent="0.3">
      <c r="A2" s="16" t="s">
        <v>58</v>
      </c>
      <c r="B2" s="16"/>
      <c r="C2" s="4" t="s">
        <v>129</v>
      </c>
    </row>
    <row r="4" spans="1:8" x14ac:dyDescent="0.3">
      <c r="A4" s="3" t="s">
        <v>0</v>
      </c>
      <c r="B4" s="3" t="s">
        <v>1</v>
      </c>
      <c r="C4" s="4" t="s">
        <v>2</v>
      </c>
      <c r="D4" s="3" t="s">
        <v>53</v>
      </c>
      <c r="E4" s="3" t="s">
        <v>54</v>
      </c>
      <c r="F4" s="10" t="s">
        <v>55</v>
      </c>
      <c r="G4" s="3" t="s">
        <v>56</v>
      </c>
      <c r="H4" s="3" t="s">
        <v>57</v>
      </c>
    </row>
    <row r="5" spans="1:8" ht="28.8" x14ac:dyDescent="0.3">
      <c r="A5" s="3">
        <v>1</v>
      </c>
      <c r="B5" s="3" t="s">
        <v>5</v>
      </c>
      <c r="C5" s="4" t="s">
        <v>6</v>
      </c>
      <c r="F5" s="10" t="s">
        <v>82</v>
      </c>
      <c r="G5" s="3">
        <v>2</v>
      </c>
    </row>
    <row r="6" spans="1:8" ht="28.8" x14ac:dyDescent="0.3">
      <c r="A6" s="3">
        <v>2</v>
      </c>
      <c r="B6" s="3" t="s">
        <v>5</v>
      </c>
      <c r="C6" s="4" t="s">
        <v>7</v>
      </c>
      <c r="F6" s="10" t="s">
        <v>66</v>
      </c>
      <c r="G6" s="3">
        <v>2</v>
      </c>
    </row>
    <row r="7" spans="1:8" ht="43.2" x14ac:dyDescent="0.3">
      <c r="A7" s="3">
        <v>3</v>
      </c>
      <c r="B7" s="3" t="s">
        <v>5</v>
      </c>
      <c r="C7" s="4" t="s">
        <v>8</v>
      </c>
      <c r="F7" s="10" t="s">
        <v>166</v>
      </c>
      <c r="G7" s="3">
        <v>2</v>
      </c>
    </row>
    <row r="8" spans="1:8" ht="43.2" x14ac:dyDescent="0.3">
      <c r="A8" s="3">
        <v>4</v>
      </c>
      <c r="B8" s="3" t="s">
        <v>5</v>
      </c>
      <c r="C8" s="4" t="s">
        <v>60</v>
      </c>
      <c r="F8" s="10" t="s">
        <v>130</v>
      </c>
      <c r="G8" s="3">
        <v>0</v>
      </c>
    </row>
    <row r="9" spans="1:8" x14ac:dyDescent="0.3">
      <c r="A9" s="3">
        <v>5</v>
      </c>
      <c r="B9" s="3" t="s">
        <v>5</v>
      </c>
      <c r="C9" s="4" t="s">
        <v>9</v>
      </c>
      <c r="F9" s="10" t="s">
        <v>63</v>
      </c>
      <c r="G9" s="3">
        <v>0</v>
      </c>
    </row>
    <row r="10" spans="1:8" ht="100.8" x14ac:dyDescent="0.3">
      <c r="A10" s="3">
        <v>6</v>
      </c>
      <c r="B10" s="3" t="s">
        <v>5</v>
      </c>
      <c r="C10" s="4" t="s">
        <v>10</v>
      </c>
      <c r="F10" s="10" t="s">
        <v>218</v>
      </c>
      <c r="G10" s="3">
        <v>0</v>
      </c>
    </row>
    <row r="11" spans="1:8" ht="86.4" x14ac:dyDescent="0.3">
      <c r="A11" s="3">
        <v>7</v>
      </c>
      <c r="B11" s="3" t="s">
        <v>5</v>
      </c>
      <c r="C11" s="4" t="s">
        <v>11</v>
      </c>
      <c r="F11" s="10" t="s">
        <v>168</v>
      </c>
      <c r="G11" s="3">
        <v>1</v>
      </c>
    </row>
    <row r="12" spans="1:8" ht="43.2" x14ac:dyDescent="0.3">
      <c r="A12" s="3">
        <v>8</v>
      </c>
      <c r="B12" s="3" t="s">
        <v>5</v>
      </c>
      <c r="C12" s="4" t="s">
        <v>12</v>
      </c>
      <c r="F12" s="10" t="s">
        <v>169</v>
      </c>
      <c r="G12" s="3">
        <v>2</v>
      </c>
    </row>
    <row r="13" spans="1:8" ht="158.4" x14ac:dyDescent="0.3">
      <c r="A13" s="3">
        <v>9</v>
      </c>
      <c r="B13" s="3" t="s">
        <v>5</v>
      </c>
      <c r="C13" s="4" t="s">
        <v>62</v>
      </c>
      <c r="F13" s="10" t="s">
        <v>170</v>
      </c>
      <c r="G13" s="3">
        <v>1</v>
      </c>
    </row>
    <row r="14" spans="1:8" x14ac:dyDescent="0.3">
      <c r="A14" s="3">
        <v>10</v>
      </c>
      <c r="B14" s="3" t="s">
        <v>5</v>
      </c>
      <c r="C14" s="4" t="s">
        <v>13</v>
      </c>
      <c r="F14" s="10" t="s">
        <v>63</v>
      </c>
      <c r="G14" s="3">
        <v>2</v>
      </c>
    </row>
    <row r="15" spans="1:8" x14ac:dyDescent="0.3">
      <c r="A15" s="3">
        <v>11</v>
      </c>
      <c r="B15" s="3" t="s">
        <v>14</v>
      </c>
      <c r="C15" s="4" t="s">
        <v>15</v>
      </c>
      <c r="F15" s="10" t="s">
        <v>63</v>
      </c>
      <c r="G15" s="3">
        <v>0</v>
      </c>
    </row>
    <row r="16" spans="1:8" ht="28.8" x14ac:dyDescent="0.3">
      <c r="A16" s="3">
        <v>12</v>
      </c>
      <c r="B16" s="3" t="s">
        <v>14</v>
      </c>
      <c r="C16" s="4" t="s">
        <v>16</v>
      </c>
      <c r="F16" s="10" t="s">
        <v>171</v>
      </c>
      <c r="G16" s="3">
        <v>2</v>
      </c>
    </row>
    <row r="17" spans="1:7" ht="28.8" x14ac:dyDescent="0.3">
      <c r="A17" s="3">
        <v>13</v>
      </c>
      <c r="B17" s="3" t="s">
        <v>14</v>
      </c>
      <c r="C17" s="4" t="s">
        <v>17</v>
      </c>
      <c r="F17" s="10" t="s">
        <v>172</v>
      </c>
      <c r="G17" s="3">
        <v>2</v>
      </c>
    </row>
    <row r="18" spans="1:7" ht="28.8" x14ac:dyDescent="0.3">
      <c r="A18" s="3">
        <v>14</v>
      </c>
      <c r="B18" s="3" t="s">
        <v>14</v>
      </c>
      <c r="C18" s="4" t="s">
        <v>18</v>
      </c>
      <c r="F18" s="10" t="s">
        <v>173</v>
      </c>
      <c r="G18" s="3">
        <v>2</v>
      </c>
    </row>
    <row r="19" spans="1:7" x14ac:dyDescent="0.3">
      <c r="A19" s="3">
        <v>15</v>
      </c>
      <c r="B19" s="3" t="s">
        <v>14</v>
      </c>
      <c r="C19" s="4" t="s">
        <v>19</v>
      </c>
      <c r="F19" s="11" t="s">
        <v>63</v>
      </c>
      <c r="G19" s="3">
        <v>0</v>
      </c>
    </row>
    <row r="20" spans="1:7" x14ac:dyDescent="0.3">
      <c r="A20" s="3">
        <v>16</v>
      </c>
      <c r="B20" s="3" t="s">
        <v>14</v>
      </c>
      <c r="C20" s="4" t="s">
        <v>20</v>
      </c>
      <c r="F20" s="11" t="s">
        <v>181</v>
      </c>
      <c r="G20" s="3">
        <v>2</v>
      </c>
    </row>
    <row r="21" spans="1:7" x14ac:dyDescent="0.3">
      <c r="A21" s="3">
        <v>17</v>
      </c>
      <c r="B21" s="3" t="s">
        <v>14</v>
      </c>
      <c r="C21" s="4" t="s">
        <v>21</v>
      </c>
      <c r="F21" s="10" t="s">
        <v>63</v>
      </c>
      <c r="G21" s="3">
        <v>2</v>
      </c>
    </row>
    <row r="22" spans="1:7" ht="72" x14ac:dyDescent="0.3">
      <c r="A22" s="3">
        <v>18</v>
      </c>
      <c r="B22" s="3" t="s">
        <v>14</v>
      </c>
      <c r="C22" s="4" t="s">
        <v>22</v>
      </c>
      <c r="F22" s="10" t="s">
        <v>174</v>
      </c>
      <c r="G22" s="3">
        <v>0</v>
      </c>
    </row>
    <row r="23" spans="1:7" ht="57.6" x14ac:dyDescent="0.3">
      <c r="A23" s="3">
        <v>19</v>
      </c>
      <c r="B23" s="3" t="s">
        <v>14</v>
      </c>
      <c r="C23" s="4" t="s">
        <v>23</v>
      </c>
      <c r="F23" s="10" t="s">
        <v>175</v>
      </c>
      <c r="G23" s="3">
        <v>0</v>
      </c>
    </row>
    <row r="24" spans="1:7" x14ac:dyDescent="0.3">
      <c r="A24" s="3">
        <v>20</v>
      </c>
      <c r="B24" s="3" t="s">
        <v>14</v>
      </c>
      <c r="C24" s="4" t="s">
        <v>24</v>
      </c>
      <c r="F24" s="15">
        <v>4800000</v>
      </c>
      <c r="G24" s="3">
        <v>0</v>
      </c>
    </row>
    <row r="25" spans="1:7" x14ac:dyDescent="0.3">
      <c r="A25" s="3">
        <v>21</v>
      </c>
      <c r="B25" s="3" t="s">
        <v>25</v>
      </c>
      <c r="C25" s="4" t="s">
        <v>26</v>
      </c>
      <c r="F25" s="10" t="s">
        <v>63</v>
      </c>
      <c r="G25" s="3">
        <v>2</v>
      </c>
    </row>
    <row r="26" spans="1:7" x14ac:dyDescent="0.3">
      <c r="A26" s="3">
        <v>22</v>
      </c>
      <c r="B26" s="3" t="s">
        <v>25</v>
      </c>
      <c r="C26" s="4" t="s">
        <v>27</v>
      </c>
      <c r="F26" s="10" t="s">
        <v>63</v>
      </c>
      <c r="G26" s="3">
        <v>2</v>
      </c>
    </row>
    <row r="27" spans="1:7" x14ac:dyDescent="0.3">
      <c r="A27" s="3">
        <v>23</v>
      </c>
      <c r="B27" s="3" t="s">
        <v>25</v>
      </c>
      <c r="C27" s="4" t="s">
        <v>28</v>
      </c>
      <c r="F27" s="10" t="s">
        <v>63</v>
      </c>
      <c r="G27" s="3">
        <v>2</v>
      </c>
    </row>
    <row r="28" spans="1:7" x14ac:dyDescent="0.3">
      <c r="A28" s="3">
        <v>24</v>
      </c>
      <c r="B28" s="3" t="s">
        <v>25</v>
      </c>
      <c r="C28" s="4" t="s">
        <v>29</v>
      </c>
      <c r="F28" s="10" t="s">
        <v>63</v>
      </c>
      <c r="G28" s="3">
        <v>2</v>
      </c>
    </row>
    <row r="29" spans="1:7" x14ac:dyDescent="0.3">
      <c r="A29" s="3">
        <v>25</v>
      </c>
      <c r="B29" s="3" t="s">
        <v>25</v>
      </c>
      <c r="C29" s="4" t="s">
        <v>30</v>
      </c>
      <c r="F29" s="10" t="s">
        <v>63</v>
      </c>
      <c r="G29" s="3">
        <v>2</v>
      </c>
    </row>
    <row r="30" spans="1:7" ht="100.8" x14ac:dyDescent="0.3">
      <c r="A30" s="3">
        <v>26</v>
      </c>
      <c r="B30" s="3" t="s">
        <v>31</v>
      </c>
      <c r="C30" s="4" t="s">
        <v>32</v>
      </c>
      <c r="F30" s="10" t="s">
        <v>219</v>
      </c>
      <c r="G30" s="3">
        <v>0</v>
      </c>
    </row>
    <row r="31" spans="1:7" ht="158.4" x14ac:dyDescent="0.3">
      <c r="A31" s="3">
        <v>27</v>
      </c>
      <c r="B31" s="3" t="s">
        <v>31</v>
      </c>
      <c r="C31" s="4" t="s">
        <v>33</v>
      </c>
      <c r="F31" s="10" t="s">
        <v>176</v>
      </c>
      <c r="G31" s="3">
        <v>1</v>
      </c>
    </row>
    <row r="32" spans="1:7" ht="43.2" x14ac:dyDescent="0.3">
      <c r="A32" s="3">
        <v>28</v>
      </c>
      <c r="B32" s="3" t="s">
        <v>31</v>
      </c>
      <c r="C32" s="4" t="s">
        <v>34</v>
      </c>
      <c r="F32" s="10" t="s">
        <v>83</v>
      </c>
      <c r="G32" s="3">
        <v>2</v>
      </c>
    </row>
    <row r="33" spans="1:8" x14ac:dyDescent="0.3">
      <c r="A33" s="3">
        <v>29</v>
      </c>
      <c r="B33" s="3" t="s">
        <v>31</v>
      </c>
      <c r="C33" s="4" t="s">
        <v>35</v>
      </c>
      <c r="F33" s="10" t="s">
        <v>63</v>
      </c>
      <c r="G33" s="3">
        <v>0</v>
      </c>
    </row>
    <row r="34" spans="1:8" x14ac:dyDescent="0.3">
      <c r="A34" s="3">
        <v>30</v>
      </c>
      <c r="B34" s="3" t="s">
        <v>31</v>
      </c>
      <c r="C34" s="4" t="s">
        <v>36</v>
      </c>
      <c r="F34" s="10" t="s">
        <v>63</v>
      </c>
      <c r="G34" s="3">
        <v>0</v>
      </c>
    </row>
    <row r="35" spans="1:8" ht="28.8" x14ac:dyDescent="0.3">
      <c r="A35">
        <v>31</v>
      </c>
      <c r="B35"/>
      <c r="C35" s="1" t="s">
        <v>114</v>
      </c>
      <c r="F35" s="12" t="s">
        <v>177</v>
      </c>
      <c r="G35" s="3">
        <v>2</v>
      </c>
    </row>
    <row r="36" spans="1:8" ht="43.2" x14ac:dyDescent="0.3">
      <c r="A36">
        <v>32</v>
      </c>
      <c r="B36"/>
      <c r="C36" s="1" t="s">
        <v>117</v>
      </c>
      <c r="F36" s="13" t="s">
        <v>178</v>
      </c>
      <c r="G36" s="3">
        <v>2</v>
      </c>
    </row>
    <row r="37" spans="1:8" ht="28.8" x14ac:dyDescent="0.3">
      <c r="A37">
        <v>33</v>
      </c>
      <c r="B37"/>
      <c r="C37" s="1" t="s">
        <v>120</v>
      </c>
      <c r="F37" s="12" t="s">
        <v>63</v>
      </c>
      <c r="G37" s="3">
        <v>0</v>
      </c>
    </row>
    <row r="38" spans="1:8" ht="43.2" x14ac:dyDescent="0.3">
      <c r="A38">
        <v>34</v>
      </c>
      <c r="B38"/>
      <c r="C38" s="1" t="s">
        <v>123</v>
      </c>
      <c r="F38" s="13" t="s">
        <v>179</v>
      </c>
      <c r="G38" s="3">
        <v>2</v>
      </c>
    </row>
    <row r="39" spans="1:8" ht="72" x14ac:dyDescent="0.3">
      <c r="A39">
        <v>35</v>
      </c>
      <c r="B39"/>
      <c r="C39" s="1" t="s">
        <v>126</v>
      </c>
      <c r="F39" s="13" t="s">
        <v>180</v>
      </c>
      <c r="G39" s="3">
        <v>2</v>
      </c>
    </row>
    <row r="41" spans="1:8" x14ac:dyDescent="0.3">
      <c r="F41" s="9" t="s">
        <v>164</v>
      </c>
      <c r="G41" s="8">
        <f>SUM(G5:G39)</f>
        <v>43</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D5:D34" xr:uid="{A9113815-6A26-4020-8093-7FA970347C31}">
      <formula1>"Y,N"</formula1>
    </dataValidation>
    <dataValidation type="list" allowBlank="1" showInputMessage="1" showErrorMessage="1" sqref="E5:E34 G5:G39" xr:uid="{F4217014-73FA-47ED-B346-716F0CDF1C13}">
      <formula1>"0,1,2"</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6A7B6-EB2E-454F-8F19-B888DA11CF52}">
  <dimension ref="A2:H41"/>
  <sheetViews>
    <sheetView zoomScale="60" zoomScaleNormal="60" workbookViewId="0">
      <selection activeCell="A4" sqref="A4:H43"/>
    </sheetView>
  </sheetViews>
  <sheetFormatPr defaultRowHeight="14.4" x14ac:dyDescent="0.3"/>
  <cols>
    <col min="1" max="1" width="7.88671875" style="3" customWidth="1"/>
    <col min="2" max="2" width="12" style="3" customWidth="1"/>
    <col min="3" max="3" width="90.33203125" style="3" customWidth="1"/>
    <col min="4" max="4" width="23.88671875" style="3" customWidth="1"/>
    <col min="5" max="5" width="20.88671875" style="3" customWidth="1"/>
    <col min="6" max="6" width="60.109375" style="10" customWidth="1"/>
    <col min="7" max="7" width="19.5546875" style="3" customWidth="1"/>
    <col min="8" max="8" width="41" style="3" customWidth="1"/>
  </cols>
  <sheetData>
    <row r="2" spans="1:8" x14ac:dyDescent="0.3">
      <c r="A2" s="16" t="s">
        <v>58</v>
      </c>
      <c r="B2" s="16"/>
      <c r="C2" s="3" t="s">
        <v>163</v>
      </c>
    </row>
    <row r="4" spans="1:8" x14ac:dyDescent="0.3">
      <c r="A4" s="3" t="s">
        <v>0</v>
      </c>
      <c r="B4" s="3" t="s">
        <v>1</v>
      </c>
      <c r="C4" s="3" t="s">
        <v>2</v>
      </c>
      <c r="D4" s="3" t="s">
        <v>53</v>
      </c>
      <c r="E4" s="3" t="s">
        <v>54</v>
      </c>
      <c r="F4" s="10" t="s">
        <v>55</v>
      </c>
      <c r="G4" s="3" t="s">
        <v>56</v>
      </c>
      <c r="H4" s="3" t="s">
        <v>57</v>
      </c>
    </row>
    <row r="5" spans="1:8" x14ac:dyDescent="0.3">
      <c r="A5" s="3">
        <v>1</v>
      </c>
      <c r="B5" s="3" t="s">
        <v>5</v>
      </c>
      <c r="C5" s="10" t="s">
        <v>6</v>
      </c>
      <c r="F5" s="10" t="s">
        <v>182</v>
      </c>
      <c r="G5" s="3">
        <v>2</v>
      </c>
    </row>
    <row r="6" spans="1:8" ht="28.8" x14ac:dyDescent="0.3">
      <c r="A6" s="3">
        <v>2</v>
      </c>
      <c r="B6" s="3" t="s">
        <v>5</v>
      </c>
      <c r="C6" s="10" t="s">
        <v>7</v>
      </c>
      <c r="F6" s="10" t="s">
        <v>66</v>
      </c>
      <c r="G6" s="3">
        <v>2</v>
      </c>
    </row>
    <row r="7" spans="1:8" ht="43.2" x14ac:dyDescent="0.3">
      <c r="A7" s="3">
        <v>3</v>
      </c>
      <c r="B7" s="3" t="s">
        <v>5</v>
      </c>
      <c r="C7" s="10" t="s">
        <v>8</v>
      </c>
      <c r="F7" s="10" t="s">
        <v>183</v>
      </c>
      <c r="G7" s="3">
        <v>2</v>
      </c>
    </row>
    <row r="8" spans="1:8" x14ac:dyDescent="0.3">
      <c r="A8" s="3">
        <v>4</v>
      </c>
      <c r="B8" s="3" t="s">
        <v>5</v>
      </c>
      <c r="C8" s="10" t="s">
        <v>60</v>
      </c>
      <c r="F8" s="10" t="s">
        <v>63</v>
      </c>
      <c r="G8" s="3">
        <v>0</v>
      </c>
    </row>
    <row r="9" spans="1:8" ht="43.2" x14ac:dyDescent="0.3">
      <c r="A9" s="3">
        <v>5</v>
      </c>
      <c r="B9" s="3" t="s">
        <v>5</v>
      </c>
      <c r="C9" s="10" t="s">
        <v>9</v>
      </c>
      <c r="F9" s="10" t="s">
        <v>184</v>
      </c>
      <c r="G9" s="3">
        <v>1</v>
      </c>
    </row>
    <row r="10" spans="1:8" ht="86.4" x14ac:dyDescent="0.3">
      <c r="A10" s="3">
        <v>6</v>
      </c>
      <c r="B10" s="3" t="s">
        <v>5</v>
      </c>
      <c r="C10" s="10" t="s">
        <v>10</v>
      </c>
      <c r="F10" s="10" t="s">
        <v>185</v>
      </c>
      <c r="G10" s="3">
        <v>1</v>
      </c>
    </row>
    <row r="11" spans="1:8" ht="86.4" x14ac:dyDescent="0.3">
      <c r="A11" s="3">
        <v>7</v>
      </c>
      <c r="B11" s="3" t="s">
        <v>5</v>
      </c>
      <c r="C11" s="10" t="s">
        <v>11</v>
      </c>
      <c r="F11" s="10" t="s">
        <v>168</v>
      </c>
      <c r="G11" s="3">
        <v>1</v>
      </c>
    </row>
    <row r="12" spans="1:8" ht="43.2" x14ac:dyDescent="0.3">
      <c r="A12" s="3">
        <v>8</v>
      </c>
      <c r="B12" s="3" t="s">
        <v>5</v>
      </c>
      <c r="C12" s="10" t="s">
        <v>12</v>
      </c>
      <c r="F12" s="10" t="s">
        <v>169</v>
      </c>
      <c r="G12" s="3">
        <v>1</v>
      </c>
    </row>
    <row r="13" spans="1:8" ht="72" x14ac:dyDescent="0.3">
      <c r="A13" s="3">
        <v>9</v>
      </c>
      <c r="B13" s="3" t="s">
        <v>5</v>
      </c>
      <c r="C13" s="10" t="s">
        <v>62</v>
      </c>
      <c r="F13" s="10" t="s">
        <v>186</v>
      </c>
      <c r="G13" s="3">
        <v>1</v>
      </c>
    </row>
    <row r="14" spans="1:8" x14ac:dyDescent="0.3">
      <c r="A14" s="3">
        <v>10</v>
      </c>
      <c r="B14" s="3" t="s">
        <v>5</v>
      </c>
      <c r="C14" s="10" t="s">
        <v>13</v>
      </c>
      <c r="F14" s="10" t="s">
        <v>63</v>
      </c>
      <c r="G14" s="3">
        <v>0</v>
      </c>
    </row>
    <row r="15" spans="1:8" x14ac:dyDescent="0.3">
      <c r="A15" s="3">
        <v>11</v>
      </c>
      <c r="B15" s="3" t="s">
        <v>14</v>
      </c>
      <c r="C15" s="10" t="s">
        <v>15</v>
      </c>
      <c r="F15" s="10" t="s">
        <v>63</v>
      </c>
      <c r="G15" s="3">
        <v>0</v>
      </c>
    </row>
    <row r="16" spans="1:8" x14ac:dyDescent="0.3">
      <c r="A16" s="3">
        <v>12</v>
      </c>
      <c r="B16" s="3" t="s">
        <v>14</v>
      </c>
      <c r="C16" s="10" t="s">
        <v>16</v>
      </c>
      <c r="F16" s="10" t="s">
        <v>187</v>
      </c>
      <c r="G16" s="3">
        <v>2</v>
      </c>
    </row>
    <row r="17" spans="1:7" ht="28.8" x14ac:dyDescent="0.3">
      <c r="A17" s="3">
        <v>13</v>
      </c>
      <c r="B17" s="3" t="s">
        <v>14</v>
      </c>
      <c r="C17" s="10" t="s">
        <v>17</v>
      </c>
      <c r="F17" s="10" t="s">
        <v>172</v>
      </c>
      <c r="G17" s="3">
        <v>2</v>
      </c>
    </row>
    <row r="18" spans="1:7" ht="28.8" x14ac:dyDescent="0.3">
      <c r="A18" s="3">
        <v>14</v>
      </c>
      <c r="B18" s="3" t="s">
        <v>14</v>
      </c>
      <c r="C18" s="10" t="s">
        <v>18</v>
      </c>
      <c r="F18" s="10" t="s">
        <v>173</v>
      </c>
      <c r="G18" s="3">
        <v>2</v>
      </c>
    </row>
    <row r="19" spans="1:7" x14ac:dyDescent="0.3">
      <c r="A19" s="3">
        <v>15</v>
      </c>
      <c r="B19" s="3" t="s">
        <v>14</v>
      </c>
      <c r="C19" s="10" t="s">
        <v>19</v>
      </c>
      <c r="F19" s="11" t="s">
        <v>63</v>
      </c>
      <c r="G19" s="3">
        <v>0</v>
      </c>
    </row>
    <row r="20" spans="1:7" ht="28.8" x14ac:dyDescent="0.3">
      <c r="A20" s="3">
        <v>16</v>
      </c>
      <c r="B20" s="3" t="s">
        <v>14</v>
      </c>
      <c r="C20" s="10" t="s">
        <v>20</v>
      </c>
      <c r="F20" s="11" t="s">
        <v>188</v>
      </c>
      <c r="G20" s="3">
        <v>2</v>
      </c>
    </row>
    <row r="21" spans="1:7" x14ac:dyDescent="0.3">
      <c r="A21" s="3">
        <v>17</v>
      </c>
      <c r="B21" s="3" t="s">
        <v>14</v>
      </c>
      <c r="C21" s="10" t="s">
        <v>21</v>
      </c>
      <c r="F21" s="10" t="s">
        <v>63</v>
      </c>
      <c r="G21" s="3">
        <v>2</v>
      </c>
    </row>
    <row r="22" spans="1:7" ht="57.6" x14ac:dyDescent="0.3">
      <c r="A22" s="3">
        <v>18</v>
      </c>
      <c r="B22" s="3" t="s">
        <v>14</v>
      </c>
      <c r="C22" s="10" t="s">
        <v>22</v>
      </c>
      <c r="F22" s="10" t="s">
        <v>189</v>
      </c>
      <c r="G22" s="3">
        <v>0</v>
      </c>
    </row>
    <row r="23" spans="1:7" ht="57.6" x14ac:dyDescent="0.3">
      <c r="A23" s="3">
        <v>19</v>
      </c>
      <c r="B23" s="3" t="s">
        <v>14</v>
      </c>
      <c r="C23" s="10" t="s">
        <v>23</v>
      </c>
      <c r="F23" s="10" t="s">
        <v>190</v>
      </c>
      <c r="G23" s="3">
        <v>0</v>
      </c>
    </row>
    <row r="24" spans="1:7" ht="72" x14ac:dyDescent="0.3">
      <c r="A24" s="3">
        <v>20</v>
      </c>
      <c r="B24" s="3" t="s">
        <v>14</v>
      </c>
      <c r="C24" s="10" t="s">
        <v>24</v>
      </c>
      <c r="F24" s="10" t="s">
        <v>191</v>
      </c>
      <c r="G24" s="3">
        <v>2</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ht="100.8" x14ac:dyDescent="0.3">
      <c r="A29" s="3">
        <v>25</v>
      </c>
      <c r="B29" s="3" t="s">
        <v>25</v>
      </c>
      <c r="C29" s="10" t="s">
        <v>30</v>
      </c>
      <c r="F29" s="10" t="s">
        <v>192</v>
      </c>
      <c r="G29" s="3">
        <v>2</v>
      </c>
    </row>
    <row r="30" spans="1:7" ht="100.8" x14ac:dyDescent="0.3">
      <c r="A30" s="3">
        <v>26</v>
      </c>
      <c r="B30" s="3" t="s">
        <v>31</v>
      </c>
      <c r="C30" s="10" t="s">
        <v>32</v>
      </c>
      <c r="F30" s="10" t="s">
        <v>193</v>
      </c>
      <c r="G30" s="3">
        <v>1</v>
      </c>
    </row>
    <row r="31" spans="1:7" ht="115.2" x14ac:dyDescent="0.3">
      <c r="A31" s="3">
        <v>27</v>
      </c>
      <c r="B31" s="3" t="s">
        <v>31</v>
      </c>
      <c r="C31" s="10" t="s">
        <v>33</v>
      </c>
      <c r="F31" s="10" t="s">
        <v>194</v>
      </c>
      <c r="G31" s="3">
        <v>1</v>
      </c>
    </row>
    <row r="32" spans="1:7" ht="43.2" x14ac:dyDescent="0.3">
      <c r="A32" s="3">
        <v>28</v>
      </c>
      <c r="B32" s="3" t="s">
        <v>31</v>
      </c>
      <c r="C32" s="10" t="s">
        <v>34</v>
      </c>
      <c r="F32" s="10" t="s">
        <v>83</v>
      </c>
      <c r="G32" s="3">
        <v>2</v>
      </c>
    </row>
    <row r="33" spans="1:8" ht="144" x14ac:dyDescent="0.3">
      <c r="A33" s="3">
        <v>29</v>
      </c>
      <c r="B33" s="3" t="s">
        <v>31</v>
      </c>
      <c r="C33" s="10" t="s">
        <v>35</v>
      </c>
      <c r="F33" s="10" t="s">
        <v>195</v>
      </c>
      <c r="G33" s="3">
        <v>0</v>
      </c>
    </row>
    <row r="34" spans="1:8" x14ac:dyDescent="0.3">
      <c r="A34" s="3">
        <v>30</v>
      </c>
      <c r="B34" s="3" t="s">
        <v>31</v>
      </c>
      <c r="C34" s="10" t="s">
        <v>36</v>
      </c>
      <c r="F34" s="10" t="s">
        <v>63</v>
      </c>
      <c r="G34" s="3">
        <v>0</v>
      </c>
    </row>
    <row r="35" spans="1:8" ht="28.8" x14ac:dyDescent="0.3">
      <c r="A35">
        <v>31</v>
      </c>
      <c r="B35"/>
      <c r="C35" s="10" t="s">
        <v>114</v>
      </c>
      <c r="F35" s="12" t="s">
        <v>177</v>
      </c>
      <c r="G35" s="3">
        <v>2</v>
      </c>
    </row>
    <row r="36" spans="1:8" ht="86.4" x14ac:dyDescent="0.3">
      <c r="A36">
        <v>32</v>
      </c>
      <c r="B36"/>
      <c r="C36" s="10" t="s">
        <v>117</v>
      </c>
      <c r="F36" s="13" t="s">
        <v>196</v>
      </c>
      <c r="G36" s="3">
        <v>2</v>
      </c>
    </row>
    <row r="37" spans="1:8" ht="28.8" x14ac:dyDescent="0.3">
      <c r="A37">
        <v>33</v>
      </c>
      <c r="B37"/>
      <c r="C37" s="10" t="s">
        <v>120</v>
      </c>
      <c r="F37" s="12" t="s">
        <v>63</v>
      </c>
      <c r="G37" s="3">
        <v>0</v>
      </c>
    </row>
    <row r="38" spans="1:8" ht="158.4" x14ac:dyDescent="0.3">
      <c r="A38">
        <v>34</v>
      </c>
      <c r="B38"/>
      <c r="C38" s="10" t="s">
        <v>123</v>
      </c>
      <c r="F38" s="13" t="s">
        <v>197</v>
      </c>
      <c r="G38" s="3">
        <v>2</v>
      </c>
    </row>
    <row r="39" spans="1:8" ht="72" x14ac:dyDescent="0.3">
      <c r="A39">
        <v>35</v>
      </c>
      <c r="B39"/>
      <c r="C39" s="10" t="s">
        <v>126</v>
      </c>
      <c r="F39" s="13" t="s">
        <v>180</v>
      </c>
      <c r="G39" s="3">
        <v>2</v>
      </c>
    </row>
    <row r="41" spans="1:8" x14ac:dyDescent="0.3">
      <c r="F41" s="14" t="s">
        <v>164</v>
      </c>
      <c r="G41" s="8">
        <f>SUM(G5:G39)</f>
        <v>45</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E5:E34 G5:G39" xr:uid="{A124377B-65D4-4752-8558-DA717A5D5529}">
      <formula1>"0,1,2"</formula1>
    </dataValidation>
    <dataValidation type="list" allowBlank="1" showInputMessage="1" showErrorMessage="1" sqref="D5:D34" xr:uid="{2DAF20CB-D313-4ABB-80C6-C4ABC864CCA2}">
      <formula1>"Y,N"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8774-11EC-4F44-912C-E2C8E7153809}">
  <dimension ref="A2:H41"/>
  <sheetViews>
    <sheetView topLeftCell="B31" zoomScale="60" zoomScaleNormal="60" workbookViewId="0">
      <selection activeCell="F31" sqref="F31"/>
    </sheetView>
  </sheetViews>
  <sheetFormatPr defaultRowHeight="14.4" x14ac:dyDescent="0.3"/>
  <cols>
    <col min="1" max="1" width="7.88671875" style="3" customWidth="1"/>
    <col min="2" max="2" width="12" style="3" customWidth="1"/>
    <col min="3" max="3" width="90.33203125" style="3" customWidth="1"/>
    <col min="4" max="4" width="23.88671875" style="3" customWidth="1"/>
    <col min="5" max="5" width="20.88671875" style="3" customWidth="1"/>
    <col min="6" max="6" width="60.109375" style="10" customWidth="1"/>
    <col min="7" max="7" width="19.5546875" style="3" customWidth="1"/>
    <col min="8" max="8" width="41" style="3" customWidth="1"/>
  </cols>
  <sheetData>
    <row r="2" spans="1:8" x14ac:dyDescent="0.3">
      <c r="A2" s="16" t="s">
        <v>58</v>
      </c>
      <c r="B2" s="16"/>
      <c r="C2" s="3" t="s">
        <v>198</v>
      </c>
    </row>
    <row r="4" spans="1:8" x14ac:dyDescent="0.3">
      <c r="A4" s="3" t="s">
        <v>0</v>
      </c>
      <c r="B4" s="3" t="s">
        <v>1</v>
      </c>
      <c r="C4" s="3" t="s">
        <v>2</v>
      </c>
      <c r="D4" s="3" t="s">
        <v>53</v>
      </c>
      <c r="E4" s="3" t="s">
        <v>54</v>
      </c>
      <c r="F4" s="10" t="s">
        <v>55</v>
      </c>
      <c r="G4" s="3" t="s">
        <v>56</v>
      </c>
      <c r="H4" s="3" t="s">
        <v>57</v>
      </c>
    </row>
    <row r="5" spans="1:8" x14ac:dyDescent="0.3">
      <c r="A5" s="3">
        <v>1</v>
      </c>
      <c r="B5" s="3" t="s">
        <v>5</v>
      </c>
      <c r="C5" s="10" t="s">
        <v>6</v>
      </c>
      <c r="F5" s="10" t="s">
        <v>182</v>
      </c>
      <c r="G5" s="3">
        <v>2</v>
      </c>
    </row>
    <row r="6" spans="1:8" ht="28.8" x14ac:dyDescent="0.3">
      <c r="A6" s="3">
        <v>2</v>
      </c>
      <c r="B6" s="3" t="s">
        <v>5</v>
      </c>
      <c r="C6" s="10" t="s">
        <v>7</v>
      </c>
      <c r="F6" s="10" t="s">
        <v>66</v>
      </c>
      <c r="G6" s="3">
        <v>2</v>
      </c>
    </row>
    <row r="7" spans="1:8" ht="43.2" x14ac:dyDescent="0.3">
      <c r="A7" s="3">
        <v>3</v>
      </c>
      <c r="B7" s="3" t="s">
        <v>5</v>
      </c>
      <c r="C7" s="10" t="s">
        <v>8</v>
      </c>
      <c r="F7" s="10" t="s">
        <v>183</v>
      </c>
      <c r="G7" s="3">
        <v>2</v>
      </c>
    </row>
    <row r="8" spans="1:8" x14ac:dyDescent="0.3">
      <c r="A8" s="3">
        <v>4</v>
      </c>
      <c r="B8" s="3" t="s">
        <v>5</v>
      </c>
      <c r="C8" s="10" t="s">
        <v>60</v>
      </c>
      <c r="F8" s="10" t="s">
        <v>63</v>
      </c>
      <c r="G8" s="3">
        <v>0</v>
      </c>
    </row>
    <row r="9" spans="1:8" ht="43.2" x14ac:dyDescent="0.3">
      <c r="A9" s="3">
        <v>5</v>
      </c>
      <c r="B9" s="3" t="s">
        <v>5</v>
      </c>
      <c r="C9" s="10" t="s">
        <v>9</v>
      </c>
      <c r="F9" s="10" t="s">
        <v>184</v>
      </c>
      <c r="G9" s="3">
        <v>1</v>
      </c>
    </row>
    <row r="10" spans="1:8" ht="86.4" x14ac:dyDescent="0.3">
      <c r="A10" s="3">
        <v>6</v>
      </c>
      <c r="B10" s="3" t="s">
        <v>5</v>
      </c>
      <c r="C10" s="10" t="s">
        <v>10</v>
      </c>
      <c r="F10" s="10" t="s">
        <v>167</v>
      </c>
      <c r="G10" s="3">
        <v>1</v>
      </c>
    </row>
    <row r="11" spans="1:8" ht="86.4" x14ac:dyDescent="0.3">
      <c r="A11" s="3">
        <v>7</v>
      </c>
      <c r="B11" s="3" t="s">
        <v>5</v>
      </c>
      <c r="C11" s="10" t="s">
        <v>11</v>
      </c>
      <c r="F11" s="10" t="s">
        <v>168</v>
      </c>
      <c r="G11" s="3">
        <v>1</v>
      </c>
    </row>
    <row r="12" spans="1:8" ht="43.2" x14ac:dyDescent="0.3">
      <c r="A12" s="3">
        <v>8</v>
      </c>
      <c r="B12" s="3" t="s">
        <v>5</v>
      </c>
      <c r="C12" s="10" t="s">
        <v>12</v>
      </c>
      <c r="F12" s="10" t="s">
        <v>169</v>
      </c>
      <c r="G12" s="3">
        <v>1</v>
      </c>
    </row>
    <row r="13" spans="1:8" ht="288" x14ac:dyDescent="0.3">
      <c r="A13" s="3">
        <v>9</v>
      </c>
      <c r="B13" s="3" t="s">
        <v>5</v>
      </c>
      <c r="C13" s="10" t="s">
        <v>62</v>
      </c>
      <c r="F13" s="10" t="s">
        <v>201</v>
      </c>
      <c r="G13" s="3">
        <v>1</v>
      </c>
    </row>
    <row r="14" spans="1:8" x14ac:dyDescent="0.3">
      <c r="A14" s="3">
        <v>10</v>
      </c>
      <c r="B14" s="3" t="s">
        <v>5</v>
      </c>
      <c r="C14" s="10" t="s">
        <v>13</v>
      </c>
      <c r="F14" s="10" t="s">
        <v>63</v>
      </c>
      <c r="G14" s="3">
        <v>0</v>
      </c>
    </row>
    <row r="15" spans="1:8" x14ac:dyDescent="0.3">
      <c r="A15" s="3">
        <v>11</v>
      </c>
      <c r="B15" s="3" t="s">
        <v>14</v>
      </c>
      <c r="C15" s="10" t="s">
        <v>15</v>
      </c>
      <c r="F15" s="10" t="s">
        <v>63</v>
      </c>
      <c r="G15" s="3">
        <v>0</v>
      </c>
    </row>
    <row r="16" spans="1:8" x14ac:dyDescent="0.3">
      <c r="A16" s="3">
        <v>12</v>
      </c>
      <c r="B16" s="3" t="s">
        <v>14</v>
      </c>
      <c r="C16" s="10" t="s">
        <v>16</v>
      </c>
      <c r="F16" s="10" t="s">
        <v>187</v>
      </c>
      <c r="G16" s="3">
        <v>2</v>
      </c>
    </row>
    <row r="17" spans="1:7" ht="28.8" x14ac:dyDescent="0.3">
      <c r="A17" s="3">
        <v>13</v>
      </c>
      <c r="B17" s="3" t="s">
        <v>14</v>
      </c>
      <c r="C17" s="10" t="s">
        <v>17</v>
      </c>
      <c r="F17" s="10" t="s">
        <v>172</v>
      </c>
      <c r="G17" s="3">
        <v>2</v>
      </c>
    </row>
    <row r="18" spans="1:7" ht="28.8" x14ac:dyDescent="0.3">
      <c r="A18" s="3">
        <v>14</v>
      </c>
      <c r="B18" s="3" t="s">
        <v>14</v>
      </c>
      <c r="C18" s="10" t="s">
        <v>18</v>
      </c>
      <c r="F18" s="10" t="s">
        <v>173</v>
      </c>
      <c r="G18" s="3">
        <v>2</v>
      </c>
    </row>
    <row r="19" spans="1:7" x14ac:dyDescent="0.3">
      <c r="A19" s="3">
        <v>15</v>
      </c>
      <c r="B19" s="3" t="s">
        <v>14</v>
      </c>
      <c r="C19" s="10" t="s">
        <v>19</v>
      </c>
      <c r="F19" s="11" t="s">
        <v>63</v>
      </c>
      <c r="G19" s="3">
        <v>0</v>
      </c>
    </row>
    <row r="20" spans="1:7" ht="28.8" x14ac:dyDescent="0.3">
      <c r="A20" s="3">
        <v>16</v>
      </c>
      <c r="B20" s="3" t="s">
        <v>14</v>
      </c>
      <c r="C20" s="10" t="s">
        <v>20</v>
      </c>
      <c r="F20" s="11" t="s">
        <v>202</v>
      </c>
      <c r="G20" s="3">
        <v>2</v>
      </c>
    </row>
    <row r="21" spans="1:7" x14ac:dyDescent="0.3">
      <c r="A21" s="3">
        <v>17</v>
      </c>
      <c r="B21" s="3" t="s">
        <v>14</v>
      </c>
      <c r="C21" s="10" t="s">
        <v>21</v>
      </c>
      <c r="F21" s="10" t="s">
        <v>63</v>
      </c>
      <c r="G21" s="3">
        <v>2</v>
      </c>
    </row>
    <row r="22" spans="1:7" ht="72" x14ac:dyDescent="0.3">
      <c r="A22" s="3">
        <v>18</v>
      </c>
      <c r="B22" s="3" t="s">
        <v>14</v>
      </c>
      <c r="C22" s="10" t="s">
        <v>22</v>
      </c>
      <c r="F22" s="10" t="s">
        <v>174</v>
      </c>
      <c r="G22" s="3">
        <v>0</v>
      </c>
    </row>
    <row r="23" spans="1:7" ht="57.6" x14ac:dyDescent="0.3">
      <c r="A23" s="3">
        <v>19</v>
      </c>
      <c r="B23" s="3" t="s">
        <v>14</v>
      </c>
      <c r="C23" s="10" t="s">
        <v>23</v>
      </c>
      <c r="F23" s="10" t="s">
        <v>203</v>
      </c>
      <c r="G23" s="3">
        <v>0</v>
      </c>
    </row>
    <row r="24" spans="1:7" x14ac:dyDescent="0.3">
      <c r="A24" s="3">
        <v>20</v>
      </c>
      <c r="B24" s="3" t="s">
        <v>14</v>
      </c>
      <c r="C24" s="10" t="s">
        <v>24</v>
      </c>
      <c r="F24" s="15">
        <v>4800000</v>
      </c>
      <c r="G24" s="3">
        <v>0</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x14ac:dyDescent="0.3">
      <c r="A29" s="3">
        <v>25</v>
      </c>
      <c r="B29" s="3" t="s">
        <v>25</v>
      </c>
      <c r="C29" s="10" t="s">
        <v>30</v>
      </c>
      <c r="F29" s="10" t="s">
        <v>63</v>
      </c>
      <c r="G29" s="3">
        <v>2</v>
      </c>
    </row>
    <row r="30" spans="1:7" ht="144" x14ac:dyDescent="0.3">
      <c r="A30" s="3">
        <v>26</v>
      </c>
      <c r="B30" s="3" t="s">
        <v>31</v>
      </c>
      <c r="C30" s="10" t="s">
        <v>32</v>
      </c>
      <c r="F30" s="10" t="s">
        <v>204</v>
      </c>
      <c r="G30" s="3">
        <v>0</v>
      </c>
    </row>
    <row r="31" spans="1:7" ht="187.2" x14ac:dyDescent="0.3">
      <c r="A31" s="3">
        <v>27</v>
      </c>
      <c r="B31" s="3" t="s">
        <v>31</v>
      </c>
      <c r="C31" s="10" t="s">
        <v>33</v>
      </c>
      <c r="F31" s="10" t="s">
        <v>205</v>
      </c>
      <c r="G31" s="3">
        <v>1</v>
      </c>
    </row>
    <row r="32" spans="1:7" ht="43.2" x14ac:dyDescent="0.3">
      <c r="A32" s="3">
        <v>28</v>
      </c>
      <c r="B32" s="3" t="s">
        <v>31</v>
      </c>
      <c r="C32" s="10" t="s">
        <v>34</v>
      </c>
      <c r="F32" s="10" t="s">
        <v>83</v>
      </c>
      <c r="G32" s="3">
        <v>2</v>
      </c>
    </row>
    <row r="33" spans="1:8" x14ac:dyDescent="0.3">
      <c r="A33" s="3">
        <v>29</v>
      </c>
      <c r="B33" s="3" t="s">
        <v>31</v>
      </c>
      <c r="C33" s="10" t="s">
        <v>35</v>
      </c>
      <c r="F33" s="10" t="s">
        <v>63</v>
      </c>
      <c r="G33" s="3">
        <v>0</v>
      </c>
    </row>
    <row r="34" spans="1:8" x14ac:dyDescent="0.3">
      <c r="A34" s="3">
        <v>30</v>
      </c>
      <c r="B34" s="3" t="s">
        <v>31</v>
      </c>
      <c r="C34" s="10" t="s">
        <v>36</v>
      </c>
      <c r="F34" s="10" t="s">
        <v>63</v>
      </c>
      <c r="G34" s="3">
        <v>0</v>
      </c>
    </row>
    <row r="35" spans="1:8" ht="28.8" x14ac:dyDescent="0.3">
      <c r="A35">
        <v>31</v>
      </c>
      <c r="B35"/>
      <c r="C35" s="10" t="s">
        <v>114</v>
      </c>
      <c r="F35" s="12" t="s">
        <v>177</v>
      </c>
      <c r="G35" s="3">
        <v>2</v>
      </c>
    </row>
    <row r="36" spans="1:8" ht="86.4" x14ac:dyDescent="0.3">
      <c r="A36">
        <v>32</v>
      </c>
      <c r="B36"/>
      <c r="C36" s="10" t="s">
        <v>117</v>
      </c>
      <c r="F36" s="13" t="s">
        <v>196</v>
      </c>
      <c r="G36" s="3">
        <v>2</v>
      </c>
    </row>
    <row r="37" spans="1:8" ht="28.8" x14ac:dyDescent="0.3">
      <c r="A37">
        <v>33</v>
      </c>
      <c r="B37"/>
      <c r="C37" s="10" t="s">
        <v>120</v>
      </c>
      <c r="F37" s="12" t="s">
        <v>63</v>
      </c>
      <c r="G37" s="3">
        <v>0</v>
      </c>
    </row>
    <row r="38" spans="1:8" ht="158.4" x14ac:dyDescent="0.3">
      <c r="A38">
        <v>34</v>
      </c>
      <c r="B38"/>
      <c r="C38" s="10" t="s">
        <v>123</v>
      </c>
      <c r="F38" s="13" t="s">
        <v>197</v>
      </c>
      <c r="G38" s="3">
        <v>2</v>
      </c>
    </row>
    <row r="39" spans="1:8" ht="72" x14ac:dyDescent="0.3">
      <c r="A39">
        <v>35</v>
      </c>
      <c r="B39"/>
      <c r="C39" s="10" t="s">
        <v>126</v>
      </c>
      <c r="F39" s="13" t="s">
        <v>180</v>
      </c>
      <c r="G39" s="3">
        <v>2</v>
      </c>
    </row>
    <row r="41" spans="1:8" x14ac:dyDescent="0.3">
      <c r="F41" s="14" t="s">
        <v>164</v>
      </c>
      <c r="G41" s="8">
        <f>SUM(G5:G39)</f>
        <v>42</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D5:D34" xr:uid="{7A116D1B-213B-4920-8254-7CF55439B84A}">
      <formula1>"Y,N"</formula1>
    </dataValidation>
    <dataValidation type="list" allowBlank="1" showInputMessage="1" showErrorMessage="1" sqref="E5:E34 G5:G39" xr:uid="{6D612E57-C4FA-4BA5-9FBC-39709D2BF419}">
      <formula1>"0,1,2"</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5EFEE-8A15-4DF0-BFD8-394065A5CEE9}">
  <dimension ref="A2:H41"/>
  <sheetViews>
    <sheetView zoomScale="70" zoomScaleNormal="70" workbookViewId="0">
      <selection activeCell="G24" sqref="G24"/>
    </sheetView>
  </sheetViews>
  <sheetFormatPr defaultRowHeight="14.4" x14ac:dyDescent="0.3"/>
  <cols>
    <col min="1" max="1" width="7.88671875" style="3" customWidth="1"/>
    <col min="2" max="2" width="12" style="3" customWidth="1"/>
    <col min="3" max="3" width="90.33203125" style="3" customWidth="1"/>
    <col min="4" max="4" width="23.88671875" style="3" customWidth="1"/>
    <col min="5" max="5" width="20.88671875" style="3" customWidth="1"/>
    <col min="6" max="6" width="60.109375" style="10" customWidth="1"/>
    <col min="7" max="7" width="19.5546875" style="3" customWidth="1"/>
    <col min="8" max="8" width="41" style="3" customWidth="1"/>
  </cols>
  <sheetData>
    <row r="2" spans="1:8" x14ac:dyDescent="0.3">
      <c r="A2" s="16" t="s">
        <v>58</v>
      </c>
      <c r="B2" s="16"/>
      <c r="C2" s="3" t="s">
        <v>199</v>
      </c>
    </row>
    <row r="4" spans="1:8" x14ac:dyDescent="0.3">
      <c r="A4" s="3" t="s">
        <v>0</v>
      </c>
      <c r="B4" s="3" t="s">
        <v>1</v>
      </c>
      <c r="C4" s="3" t="s">
        <v>2</v>
      </c>
      <c r="D4" s="3" t="s">
        <v>53</v>
      </c>
      <c r="E4" s="3" t="s">
        <v>54</v>
      </c>
      <c r="F4" s="10" t="s">
        <v>55</v>
      </c>
      <c r="G4" s="3" t="s">
        <v>56</v>
      </c>
      <c r="H4" s="3" t="s">
        <v>57</v>
      </c>
    </row>
    <row r="5" spans="1:8" x14ac:dyDescent="0.3">
      <c r="A5" s="3">
        <v>1</v>
      </c>
      <c r="B5" s="3" t="s">
        <v>5</v>
      </c>
      <c r="C5" s="10" t="s">
        <v>6</v>
      </c>
      <c r="F5" s="10" t="s">
        <v>182</v>
      </c>
      <c r="G5" s="3">
        <v>2</v>
      </c>
    </row>
    <row r="6" spans="1:8" ht="28.8" x14ac:dyDescent="0.3">
      <c r="A6" s="3">
        <v>2</v>
      </c>
      <c r="B6" s="3" t="s">
        <v>5</v>
      </c>
      <c r="C6" s="10" t="s">
        <v>7</v>
      </c>
      <c r="F6" s="10" t="s">
        <v>66</v>
      </c>
      <c r="G6" s="3">
        <v>2</v>
      </c>
    </row>
    <row r="7" spans="1:8" ht="43.2" x14ac:dyDescent="0.3">
      <c r="A7" s="3">
        <v>3</v>
      </c>
      <c r="B7" s="3" t="s">
        <v>5</v>
      </c>
      <c r="C7" s="10" t="s">
        <v>8</v>
      </c>
      <c r="F7" s="10" t="s">
        <v>183</v>
      </c>
      <c r="G7" s="3">
        <v>2</v>
      </c>
    </row>
    <row r="8" spans="1:8" x14ac:dyDescent="0.3">
      <c r="A8" s="3">
        <v>4</v>
      </c>
      <c r="B8" s="3" t="s">
        <v>5</v>
      </c>
      <c r="C8" s="10" t="s">
        <v>60</v>
      </c>
      <c r="F8" s="10" t="s">
        <v>63</v>
      </c>
      <c r="G8" s="3">
        <v>0</v>
      </c>
    </row>
    <row r="9" spans="1:8" ht="43.2" x14ac:dyDescent="0.3">
      <c r="A9" s="3">
        <v>5</v>
      </c>
      <c r="B9" s="3" t="s">
        <v>5</v>
      </c>
      <c r="C9" s="10" t="s">
        <v>9</v>
      </c>
      <c r="F9" s="10" t="s">
        <v>184</v>
      </c>
      <c r="G9" s="3">
        <v>1</v>
      </c>
    </row>
    <row r="10" spans="1:8" ht="86.4" x14ac:dyDescent="0.3">
      <c r="A10" s="3">
        <v>6</v>
      </c>
      <c r="B10" s="3" t="s">
        <v>5</v>
      </c>
      <c r="C10" s="10" t="s">
        <v>10</v>
      </c>
      <c r="F10" s="10" t="s">
        <v>167</v>
      </c>
      <c r="G10" s="3">
        <v>1</v>
      </c>
    </row>
    <row r="11" spans="1:8" ht="86.4" x14ac:dyDescent="0.3">
      <c r="A11" s="3">
        <v>7</v>
      </c>
      <c r="B11" s="3" t="s">
        <v>5</v>
      </c>
      <c r="C11" s="10" t="s">
        <v>11</v>
      </c>
      <c r="F11" s="10" t="s">
        <v>168</v>
      </c>
      <c r="G11" s="3">
        <v>1</v>
      </c>
    </row>
    <row r="12" spans="1:8" ht="43.2" x14ac:dyDescent="0.3">
      <c r="A12" s="3">
        <v>8</v>
      </c>
      <c r="B12" s="3" t="s">
        <v>5</v>
      </c>
      <c r="C12" s="10" t="s">
        <v>12</v>
      </c>
      <c r="F12" s="10" t="s">
        <v>169</v>
      </c>
      <c r="G12" s="3">
        <v>1</v>
      </c>
    </row>
    <row r="13" spans="1:8" ht="158.4" x14ac:dyDescent="0.3">
      <c r="A13" s="3">
        <v>9</v>
      </c>
      <c r="B13" s="3" t="s">
        <v>5</v>
      </c>
      <c r="C13" s="10" t="s">
        <v>62</v>
      </c>
      <c r="F13" s="10" t="s">
        <v>206</v>
      </c>
      <c r="G13" s="3">
        <v>1</v>
      </c>
    </row>
    <row r="14" spans="1:8" x14ac:dyDescent="0.3">
      <c r="A14" s="3">
        <v>10</v>
      </c>
      <c r="B14" s="3" t="s">
        <v>5</v>
      </c>
      <c r="C14" s="10" t="s">
        <v>13</v>
      </c>
      <c r="F14" s="10" t="s">
        <v>63</v>
      </c>
      <c r="G14" s="3">
        <v>0</v>
      </c>
    </row>
    <row r="15" spans="1:8" x14ac:dyDescent="0.3">
      <c r="A15" s="3">
        <v>11</v>
      </c>
      <c r="B15" s="3" t="s">
        <v>14</v>
      </c>
      <c r="C15" s="10" t="s">
        <v>15</v>
      </c>
      <c r="F15" s="10" t="s">
        <v>63</v>
      </c>
      <c r="G15" s="3">
        <v>0</v>
      </c>
    </row>
    <row r="16" spans="1:8" x14ac:dyDescent="0.3">
      <c r="A16" s="3">
        <v>12</v>
      </c>
      <c r="B16" s="3" t="s">
        <v>14</v>
      </c>
      <c r="C16" s="10" t="s">
        <v>16</v>
      </c>
      <c r="F16" s="10" t="s">
        <v>187</v>
      </c>
      <c r="G16" s="3">
        <v>2</v>
      </c>
    </row>
    <row r="17" spans="1:7" ht="28.8" x14ac:dyDescent="0.3">
      <c r="A17" s="3">
        <v>13</v>
      </c>
      <c r="B17" s="3" t="s">
        <v>14</v>
      </c>
      <c r="C17" s="10" t="s">
        <v>17</v>
      </c>
      <c r="F17" s="10" t="s">
        <v>172</v>
      </c>
      <c r="G17" s="3">
        <v>2</v>
      </c>
    </row>
    <row r="18" spans="1:7" ht="28.8" x14ac:dyDescent="0.3">
      <c r="A18" s="3">
        <v>14</v>
      </c>
      <c r="B18" s="3" t="s">
        <v>14</v>
      </c>
      <c r="C18" s="10" t="s">
        <v>18</v>
      </c>
      <c r="F18" s="10" t="s">
        <v>173</v>
      </c>
      <c r="G18" s="3">
        <v>2</v>
      </c>
    </row>
    <row r="19" spans="1:7" x14ac:dyDescent="0.3">
      <c r="A19" s="3">
        <v>15</v>
      </c>
      <c r="B19" s="3" t="s">
        <v>14</v>
      </c>
      <c r="C19" s="10" t="s">
        <v>19</v>
      </c>
      <c r="F19" s="11" t="s">
        <v>63</v>
      </c>
      <c r="G19" s="3">
        <v>0</v>
      </c>
    </row>
    <row r="20" spans="1:7" ht="28.8" x14ac:dyDescent="0.3">
      <c r="A20" s="3">
        <v>16</v>
      </c>
      <c r="B20" s="3" t="s">
        <v>14</v>
      </c>
      <c r="C20" s="10" t="s">
        <v>20</v>
      </c>
      <c r="F20" s="11" t="s">
        <v>188</v>
      </c>
      <c r="G20" s="3">
        <v>2</v>
      </c>
    </row>
    <row r="21" spans="1:7" x14ac:dyDescent="0.3">
      <c r="A21" s="3">
        <v>17</v>
      </c>
      <c r="B21" s="3" t="s">
        <v>14</v>
      </c>
      <c r="C21" s="10" t="s">
        <v>21</v>
      </c>
      <c r="F21" s="10" t="s">
        <v>63</v>
      </c>
      <c r="G21" s="3">
        <v>2</v>
      </c>
    </row>
    <row r="22" spans="1:7" ht="57.6" x14ac:dyDescent="0.3">
      <c r="A22" s="3">
        <v>18</v>
      </c>
      <c r="B22" s="3" t="s">
        <v>14</v>
      </c>
      <c r="C22" s="10" t="s">
        <v>22</v>
      </c>
      <c r="F22" s="10" t="s">
        <v>189</v>
      </c>
      <c r="G22" s="3">
        <v>0</v>
      </c>
    </row>
    <row r="23" spans="1:7" ht="57.6" x14ac:dyDescent="0.3">
      <c r="A23" s="3">
        <v>19</v>
      </c>
      <c r="B23" s="3" t="s">
        <v>14</v>
      </c>
      <c r="C23" s="10" t="s">
        <v>23</v>
      </c>
      <c r="F23" s="10" t="s">
        <v>207</v>
      </c>
      <c r="G23" s="3">
        <v>0</v>
      </c>
    </row>
    <row r="24" spans="1:7" ht="72" x14ac:dyDescent="0.3">
      <c r="A24" s="3">
        <v>20</v>
      </c>
      <c r="B24" s="3" t="s">
        <v>14</v>
      </c>
      <c r="C24" s="10" t="s">
        <v>24</v>
      </c>
      <c r="F24" s="10" t="s">
        <v>191</v>
      </c>
      <c r="G24" s="3">
        <v>0</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x14ac:dyDescent="0.3">
      <c r="A29" s="3">
        <v>25</v>
      </c>
      <c r="B29" s="3" t="s">
        <v>25</v>
      </c>
      <c r="C29" s="10" t="s">
        <v>30</v>
      </c>
      <c r="F29" s="10" t="s">
        <v>63</v>
      </c>
      <c r="G29" s="3">
        <v>2</v>
      </c>
    </row>
    <row r="30" spans="1:7" ht="100.8" x14ac:dyDescent="0.3">
      <c r="A30" s="3">
        <v>26</v>
      </c>
      <c r="B30" s="3" t="s">
        <v>31</v>
      </c>
      <c r="C30" s="10" t="s">
        <v>32</v>
      </c>
      <c r="F30" s="10" t="s">
        <v>208</v>
      </c>
      <c r="G30" s="3">
        <v>1</v>
      </c>
    </row>
    <row r="31" spans="1:7" ht="129.6" x14ac:dyDescent="0.3">
      <c r="A31" s="3">
        <v>27</v>
      </c>
      <c r="B31" s="3" t="s">
        <v>31</v>
      </c>
      <c r="C31" s="10" t="s">
        <v>33</v>
      </c>
      <c r="F31" s="10" t="s">
        <v>209</v>
      </c>
      <c r="G31" s="3">
        <v>1</v>
      </c>
    </row>
    <row r="32" spans="1:7" ht="43.2" x14ac:dyDescent="0.3">
      <c r="A32" s="3">
        <v>28</v>
      </c>
      <c r="B32" s="3" t="s">
        <v>31</v>
      </c>
      <c r="C32" s="10" t="s">
        <v>34</v>
      </c>
      <c r="F32" s="10" t="s">
        <v>83</v>
      </c>
      <c r="G32" s="3">
        <v>2</v>
      </c>
    </row>
    <row r="33" spans="1:8" ht="72" x14ac:dyDescent="0.3">
      <c r="A33" s="3">
        <v>29</v>
      </c>
      <c r="B33" s="3" t="s">
        <v>31</v>
      </c>
      <c r="C33" s="10" t="s">
        <v>35</v>
      </c>
      <c r="F33" s="10" t="s">
        <v>212</v>
      </c>
      <c r="G33" s="3">
        <v>0</v>
      </c>
    </row>
    <row r="34" spans="1:8" ht="86.4" x14ac:dyDescent="0.3">
      <c r="A34" s="3">
        <v>30</v>
      </c>
      <c r="B34" s="3" t="s">
        <v>31</v>
      </c>
      <c r="C34" s="10" t="s">
        <v>36</v>
      </c>
      <c r="F34" s="10" t="s">
        <v>210</v>
      </c>
      <c r="G34" s="3">
        <v>1</v>
      </c>
    </row>
    <row r="35" spans="1:8" ht="28.8" x14ac:dyDescent="0.3">
      <c r="A35">
        <v>31</v>
      </c>
      <c r="B35"/>
      <c r="C35" s="10" t="s">
        <v>114</v>
      </c>
      <c r="F35" s="12" t="s">
        <v>177</v>
      </c>
      <c r="G35" s="3">
        <v>2</v>
      </c>
    </row>
    <row r="36" spans="1:8" ht="72" x14ac:dyDescent="0.3">
      <c r="A36">
        <v>32</v>
      </c>
      <c r="B36"/>
      <c r="C36" s="10" t="s">
        <v>117</v>
      </c>
      <c r="F36" s="12" t="s">
        <v>196</v>
      </c>
      <c r="G36" s="3">
        <v>2</v>
      </c>
    </row>
    <row r="37" spans="1:8" ht="57.6" x14ac:dyDescent="0.3">
      <c r="A37">
        <v>33</v>
      </c>
      <c r="B37"/>
      <c r="C37" s="10" t="s">
        <v>120</v>
      </c>
      <c r="F37" s="12" t="s">
        <v>211</v>
      </c>
      <c r="G37" s="3">
        <v>0</v>
      </c>
    </row>
    <row r="38" spans="1:8" ht="115.2" x14ac:dyDescent="0.3">
      <c r="A38">
        <v>34</v>
      </c>
      <c r="B38"/>
      <c r="C38" s="10" t="s">
        <v>123</v>
      </c>
      <c r="F38" s="12" t="s">
        <v>197</v>
      </c>
      <c r="G38" s="3">
        <v>2</v>
      </c>
    </row>
    <row r="39" spans="1:8" ht="57.6" x14ac:dyDescent="0.3">
      <c r="A39">
        <v>35</v>
      </c>
      <c r="B39"/>
      <c r="C39" s="10" t="s">
        <v>126</v>
      </c>
      <c r="F39" s="12" t="s">
        <v>180</v>
      </c>
      <c r="G39" s="3">
        <v>2</v>
      </c>
    </row>
    <row r="41" spans="1:8" x14ac:dyDescent="0.3">
      <c r="F41" s="14" t="s">
        <v>164</v>
      </c>
      <c r="G41" s="8">
        <f>SUM(G5:G39)</f>
        <v>44</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E5:E34 G5:G39" xr:uid="{B178D9B7-2A29-438D-8561-0DBF1A13090D}">
      <formula1>"0,1,2"</formula1>
    </dataValidation>
    <dataValidation type="list" allowBlank="1" showInputMessage="1" showErrorMessage="1" sqref="D5:D34" xr:uid="{D2B64300-6946-4633-9BD9-B6954C7300A3}">
      <formula1>"Y,N"</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702E-BD0B-4D95-BE22-B6762EB6EBC8}">
  <dimension ref="A2:H41"/>
  <sheetViews>
    <sheetView topLeftCell="C1" zoomScale="70" zoomScaleNormal="70" workbookViewId="0">
      <selection activeCell="G11" sqref="G11"/>
    </sheetView>
  </sheetViews>
  <sheetFormatPr defaultRowHeight="14.4" x14ac:dyDescent="0.3"/>
  <cols>
    <col min="1" max="1" width="7.88671875" style="3" customWidth="1"/>
    <col min="2" max="2" width="12" style="3" customWidth="1"/>
    <col min="3" max="3" width="90.33203125" style="3" customWidth="1"/>
    <col min="4" max="4" width="23.88671875" style="3" customWidth="1"/>
    <col min="5" max="5" width="20.88671875" style="3" customWidth="1"/>
    <col min="6" max="6" width="60.109375" style="10" customWidth="1"/>
    <col min="7" max="7" width="19.5546875" style="3" customWidth="1"/>
    <col min="8" max="8" width="41" style="3" customWidth="1"/>
  </cols>
  <sheetData>
    <row r="2" spans="1:8" x14ac:dyDescent="0.3">
      <c r="A2" s="16" t="s">
        <v>58</v>
      </c>
      <c r="B2" s="16"/>
      <c r="C2" s="3" t="s">
        <v>200</v>
      </c>
    </row>
    <row r="4" spans="1:8" x14ac:dyDescent="0.3">
      <c r="A4" s="3" t="s">
        <v>0</v>
      </c>
      <c r="B4" s="3" t="s">
        <v>1</v>
      </c>
      <c r="C4" s="3" t="s">
        <v>2</v>
      </c>
      <c r="D4" s="3" t="s">
        <v>53</v>
      </c>
      <c r="E4" s="3" t="s">
        <v>54</v>
      </c>
      <c r="F4" s="10" t="s">
        <v>55</v>
      </c>
      <c r="G4" s="3" t="s">
        <v>56</v>
      </c>
      <c r="H4" s="3" t="s">
        <v>57</v>
      </c>
    </row>
    <row r="5" spans="1:8" x14ac:dyDescent="0.3">
      <c r="A5" s="3">
        <v>1</v>
      </c>
      <c r="B5" s="3" t="s">
        <v>5</v>
      </c>
      <c r="C5" s="10" t="s">
        <v>6</v>
      </c>
      <c r="F5" s="10" t="s">
        <v>182</v>
      </c>
      <c r="G5" s="3">
        <v>2</v>
      </c>
    </row>
    <row r="6" spans="1:8" ht="28.8" x14ac:dyDescent="0.3">
      <c r="A6" s="3">
        <v>2</v>
      </c>
      <c r="B6" s="3" t="s">
        <v>5</v>
      </c>
      <c r="C6" s="10" t="s">
        <v>7</v>
      </c>
      <c r="F6" s="10" t="s">
        <v>66</v>
      </c>
      <c r="G6" s="3">
        <v>2</v>
      </c>
    </row>
    <row r="7" spans="1:8" ht="43.2" x14ac:dyDescent="0.3">
      <c r="A7" s="3">
        <v>3</v>
      </c>
      <c r="B7" s="3" t="s">
        <v>5</v>
      </c>
      <c r="C7" s="10" t="s">
        <v>8</v>
      </c>
      <c r="F7" s="10" t="s">
        <v>183</v>
      </c>
      <c r="G7" s="3">
        <v>2</v>
      </c>
    </row>
    <row r="8" spans="1:8" x14ac:dyDescent="0.3">
      <c r="A8" s="3">
        <v>4</v>
      </c>
      <c r="B8" s="3" t="s">
        <v>5</v>
      </c>
      <c r="C8" s="10" t="s">
        <v>60</v>
      </c>
      <c r="F8" s="10" t="s">
        <v>63</v>
      </c>
      <c r="G8" s="3">
        <v>0</v>
      </c>
    </row>
    <row r="9" spans="1:8" ht="43.2" x14ac:dyDescent="0.3">
      <c r="A9" s="3">
        <v>5</v>
      </c>
      <c r="B9" s="3" t="s">
        <v>5</v>
      </c>
      <c r="C9" s="10" t="s">
        <v>9</v>
      </c>
      <c r="F9" s="10" t="s">
        <v>184</v>
      </c>
      <c r="G9" s="3">
        <v>1</v>
      </c>
    </row>
    <row r="10" spans="1:8" ht="86.4" x14ac:dyDescent="0.3">
      <c r="A10" s="3">
        <v>6</v>
      </c>
      <c r="B10" s="3" t="s">
        <v>5</v>
      </c>
      <c r="C10" s="10" t="s">
        <v>10</v>
      </c>
      <c r="F10" s="10" t="s">
        <v>185</v>
      </c>
      <c r="G10" s="3">
        <v>1</v>
      </c>
    </row>
    <row r="11" spans="1:8" ht="86.4" x14ac:dyDescent="0.3">
      <c r="A11" s="3">
        <v>7</v>
      </c>
      <c r="B11" s="3" t="s">
        <v>5</v>
      </c>
      <c r="C11" s="10" t="s">
        <v>11</v>
      </c>
      <c r="F11" s="10" t="s">
        <v>168</v>
      </c>
      <c r="G11" s="3">
        <v>1</v>
      </c>
    </row>
    <row r="12" spans="1:8" ht="43.2" x14ac:dyDescent="0.3">
      <c r="A12" s="3">
        <v>8</v>
      </c>
      <c r="B12" s="3" t="s">
        <v>5</v>
      </c>
      <c r="C12" s="10" t="s">
        <v>12</v>
      </c>
      <c r="F12" s="10" t="s">
        <v>169</v>
      </c>
      <c r="G12" s="3">
        <v>1</v>
      </c>
    </row>
    <row r="13" spans="1:8" ht="187.2" x14ac:dyDescent="0.3">
      <c r="A13" s="3">
        <v>9</v>
      </c>
      <c r="B13" s="3" t="s">
        <v>5</v>
      </c>
      <c r="C13" s="10" t="s">
        <v>62</v>
      </c>
      <c r="F13" s="10" t="s">
        <v>213</v>
      </c>
      <c r="G13" s="3">
        <v>1</v>
      </c>
    </row>
    <row r="14" spans="1:8" x14ac:dyDescent="0.3">
      <c r="A14" s="3">
        <v>10</v>
      </c>
      <c r="B14" s="3" t="s">
        <v>5</v>
      </c>
      <c r="C14" s="10" t="s">
        <v>13</v>
      </c>
      <c r="F14" s="10" t="s">
        <v>63</v>
      </c>
      <c r="G14" s="3">
        <v>0</v>
      </c>
    </row>
    <row r="15" spans="1:8" x14ac:dyDescent="0.3">
      <c r="A15" s="3">
        <v>11</v>
      </c>
      <c r="B15" s="3" t="s">
        <v>14</v>
      </c>
      <c r="C15" s="10" t="s">
        <v>15</v>
      </c>
      <c r="F15" s="10" t="s">
        <v>63</v>
      </c>
      <c r="G15" s="3">
        <v>0</v>
      </c>
    </row>
    <row r="16" spans="1:8" x14ac:dyDescent="0.3">
      <c r="A16" s="3">
        <v>12</v>
      </c>
      <c r="B16" s="3" t="s">
        <v>14</v>
      </c>
      <c r="C16" s="10" t="s">
        <v>16</v>
      </c>
      <c r="F16" s="10" t="s">
        <v>187</v>
      </c>
      <c r="G16" s="3">
        <v>2</v>
      </c>
    </row>
    <row r="17" spans="1:7" ht="28.8" x14ac:dyDescent="0.3">
      <c r="A17" s="3">
        <v>13</v>
      </c>
      <c r="B17" s="3" t="s">
        <v>14</v>
      </c>
      <c r="C17" s="10" t="s">
        <v>17</v>
      </c>
      <c r="F17" s="10" t="s">
        <v>172</v>
      </c>
      <c r="G17" s="3">
        <v>2</v>
      </c>
    </row>
    <row r="18" spans="1:7" ht="28.8" x14ac:dyDescent="0.3">
      <c r="A18" s="3">
        <v>14</v>
      </c>
      <c r="B18" s="3" t="s">
        <v>14</v>
      </c>
      <c r="C18" s="10" t="s">
        <v>18</v>
      </c>
      <c r="F18" s="10" t="s">
        <v>173</v>
      </c>
      <c r="G18" s="3">
        <v>2</v>
      </c>
    </row>
    <row r="19" spans="1:7" x14ac:dyDescent="0.3">
      <c r="A19" s="3">
        <v>15</v>
      </c>
      <c r="B19" s="3" t="s">
        <v>14</v>
      </c>
      <c r="C19" s="10" t="s">
        <v>19</v>
      </c>
      <c r="F19" s="11" t="s">
        <v>63</v>
      </c>
      <c r="G19" s="3">
        <v>0</v>
      </c>
    </row>
    <row r="20" spans="1:7" ht="28.8" x14ac:dyDescent="0.3">
      <c r="A20" s="3">
        <v>16</v>
      </c>
      <c r="B20" s="3" t="s">
        <v>14</v>
      </c>
      <c r="C20" s="10" t="s">
        <v>20</v>
      </c>
      <c r="F20" s="11" t="s">
        <v>214</v>
      </c>
      <c r="G20" s="3">
        <v>2</v>
      </c>
    </row>
    <row r="21" spans="1:7" x14ac:dyDescent="0.3">
      <c r="A21" s="3">
        <v>17</v>
      </c>
      <c r="B21" s="3" t="s">
        <v>14</v>
      </c>
      <c r="C21" s="10" t="s">
        <v>21</v>
      </c>
      <c r="F21" s="10" t="s">
        <v>63</v>
      </c>
      <c r="G21" s="3">
        <v>0</v>
      </c>
    </row>
    <row r="22" spans="1:7" ht="57.6" x14ac:dyDescent="0.3">
      <c r="A22" s="3">
        <v>18</v>
      </c>
      <c r="B22" s="3" t="s">
        <v>14</v>
      </c>
      <c r="C22" s="10" t="s">
        <v>22</v>
      </c>
      <c r="F22" s="10" t="s">
        <v>189</v>
      </c>
      <c r="G22" s="3">
        <v>0</v>
      </c>
    </row>
    <row r="23" spans="1:7" ht="57.6" x14ac:dyDescent="0.3">
      <c r="A23" s="3">
        <v>19</v>
      </c>
      <c r="B23" s="3" t="s">
        <v>14</v>
      </c>
      <c r="C23" s="10" t="s">
        <v>23</v>
      </c>
      <c r="F23" s="10" t="s">
        <v>207</v>
      </c>
      <c r="G23" s="3">
        <v>0</v>
      </c>
    </row>
    <row r="24" spans="1:7" ht="72" x14ac:dyDescent="0.3">
      <c r="A24" s="3">
        <v>20</v>
      </c>
      <c r="B24" s="3" t="s">
        <v>14</v>
      </c>
      <c r="C24" s="10" t="s">
        <v>24</v>
      </c>
      <c r="F24" s="10" t="s">
        <v>191</v>
      </c>
      <c r="G24" s="3">
        <v>0</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x14ac:dyDescent="0.3">
      <c r="A29" s="3">
        <v>25</v>
      </c>
      <c r="B29" s="3" t="s">
        <v>25</v>
      </c>
      <c r="C29" s="10" t="s">
        <v>30</v>
      </c>
      <c r="F29" s="10" t="s">
        <v>63</v>
      </c>
      <c r="G29" s="3">
        <v>2</v>
      </c>
    </row>
    <row r="30" spans="1:7" ht="129.6" x14ac:dyDescent="0.3">
      <c r="A30" s="3">
        <v>26</v>
      </c>
      <c r="B30" s="3" t="s">
        <v>31</v>
      </c>
      <c r="C30" s="10" t="s">
        <v>32</v>
      </c>
      <c r="F30" s="10" t="s">
        <v>215</v>
      </c>
      <c r="G30" s="3">
        <v>1</v>
      </c>
    </row>
    <row r="31" spans="1:7" ht="115.2" x14ac:dyDescent="0.3">
      <c r="A31" s="3">
        <v>27</v>
      </c>
      <c r="B31" s="3" t="s">
        <v>31</v>
      </c>
      <c r="C31" s="10" t="s">
        <v>33</v>
      </c>
      <c r="F31" s="10" t="s">
        <v>194</v>
      </c>
      <c r="G31" s="3">
        <v>1</v>
      </c>
    </row>
    <row r="32" spans="1:7" ht="43.2" x14ac:dyDescent="0.3">
      <c r="A32" s="3">
        <v>28</v>
      </c>
      <c r="B32" s="3" t="s">
        <v>31</v>
      </c>
      <c r="C32" s="10" t="s">
        <v>34</v>
      </c>
      <c r="F32" s="10" t="s">
        <v>83</v>
      </c>
      <c r="G32" s="3">
        <v>2</v>
      </c>
    </row>
    <row r="33" spans="1:8" ht="72" x14ac:dyDescent="0.3">
      <c r="A33" s="3">
        <v>29</v>
      </c>
      <c r="B33" s="3" t="s">
        <v>31</v>
      </c>
      <c r="C33" s="10" t="s">
        <v>35</v>
      </c>
      <c r="F33" s="10" t="s">
        <v>216</v>
      </c>
      <c r="G33" s="3">
        <v>0</v>
      </c>
    </row>
    <row r="34" spans="1:8" ht="100.8" x14ac:dyDescent="0.3">
      <c r="A34" s="3">
        <v>30</v>
      </c>
      <c r="B34" s="3" t="s">
        <v>31</v>
      </c>
      <c r="C34" s="10" t="s">
        <v>36</v>
      </c>
      <c r="F34" s="10" t="s">
        <v>217</v>
      </c>
      <c r="G34" s="3">
        <v>1</v>
      </c>
    </row>
    <row r="35" spans="1:8" ht="28.8" x14ac:dyDescent="0.3">
      <c r="A35">
        <v>31</v>
      </c>
      <c r="B35"/>
      <c r="C35" s="10" t="s">
        <v>114</v>
      </c>
      <c r="F35" s="12" t="s">
        <v>177</v>
      </c>
      <c r="G35" s="3">
        <v>2</v>
      </c>
    </row>
    <row r="36" spans="1:8" ht="72" x14ac:dyDescent="0.3">
      <c r="A36">
        <v>32</v>
      </c>
      <c r="B36"/>
      <c r="C36" s="10" t="s">
        <v>117</v>
      </c>
      <c r="F36" s="12" t="s">
        <v>196</v>
      </c>
      <c r="G36" s="3">
        <v>2</v>
      </c>
    </row>
    <row r="37" spans="1:8" ht="28.8" x14ac:dyDescent="0.3">
      <c r="A37">
        <v>33</v>
      </c>
      <c r="B37"/>
      <c r="C37" s="10" t="s">
        <v>120</v>
      </c>
      <c r="F37" s="12" t="s">
        <v>63</v>
      </c>
      <c r="G37" s="3">
        <v>0</v>
      </c>
    </row>
    <row r="38" spans="1:8" ht="115.2" x14ac:dyDescent="0.3">
      <c r="A38">
        <v>34</v>
      </c>
      <c r="B38"/>
      <c r="C38" s="10" t="s">
        <v>123</v>
      </c>
      <c r="F38" s="12" t="s">
        <v>197</v>
      </c>
      <c r="G38" s="3">
        <v>2</v>
      </c>
    </row>
    <row r="39" spans="1:8" ht="57.6" x14ac:dyDescent="0.3">
      <c r="A39">
        <v>35</v>
      </c>
      <c r="B39"/>
      <c r="C39" s="10" t="s">
        <v>126</v>
      </c>
      <c r="F39" s="12" t="s">
        <v>180</v>
      </c>
      <c r="G39" s="3">
        <v>2</v>
      </c>
    </row>
    <row r="41" spans="1:8" x14ac:dyDescent="0.3">
      <c r="F41" s="14" t="s">
        <v>164</v>
      </c>
      <c r="G41" s="8">
        <f>SUM(G5:G39)</f>
        <v>42</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D5:D34" xr:uid="{3DA5E884-7B3E-45E5-981F-4498219E7094}">
      <formula1>"Y,N"</formula1>
    </dataValidation>
    <dataValidation type="list" allowBlank="1" showInputMessage="1" showErrorMessage="1" sqref="E5:E34 G5:G39" xr:uid="{B31C644A-E5F4-49FF-A549-5B92C961CFBA}">
      <formula1>"0,1,2"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843F2-2F72-4EC8-8A02-00506CF7ED1A}">
  <dimension ref="A2:H41"/>
  <sheetViews>
    <sheetView zoomScale="60" zoomScaleNormal="60" workbookViewId="0">
      <selection activeCell="G36" sqref="G36"/>
    </sheetView>
  </sheetViews>
  <sheetFormatPr defaultRowHeight="14.4" x14ac:dyDescent="0.3"/>
  <cols>
    <col min="1" max="1" width="7.88671875" style="3" customWidth="1"/>
    <col min="2" max="2" width="12" style="3" customWidth="1"/>
    <col min="3" max="3" width="90.33203125" style="3" customWidth="1"/>
    <col min="4" max="4" width="23.88671875" style="3" customWidth="1"/>
    <col min="5" max="5" width="20.88671875" style="3" customWidth="1"/>
    <col min="6" max="6" width="60.109375" style="10" customWidth="1"/>
    <col min="7" max="7" width="19.5546875" style="3" customWidth="1"/>
    <col min="8" max="8" width="41" style="3" customWidth="1"/>
  </cols>
  <sheetData>
    <row r="2" spans="1:8" x14ac:dyDescent="0.3">
      <c r="A2" s="16" t="s">
        <v>58</v>
      </c>
      <c r="B2" s="16"/>
      <c r="C2" s="3" t="s">
        <v>220</v>
      </c>
    </row>
    <row r="4" spans="1:8" x14ac:dyDescent="0.3">
      <c r="A4" s="3" t="s">
        <v>0</v>
      </c>
      <c r="B4" s="3" t="s">
        <v>1</v>
      </c>
      <c r="C4" s="3" t="s">
        <v>2</v>
      </c>
      <c r="D4" s="3" t="s">
        <v>53</v>
      </c>
      <c r="E4" s="3" t="s">
        <v>54</v>
      </c>
      <c r="F4" s="10" t="s">
        <v>55</v>
      </c>
      <c r="G4" s="3" t="s">
        <v>56</v>
      </c>
      <c r="H4" s="3" t="s">
        <v>57</v>
      </c>
    </row>
    <row r="5" spans="1:8" x14ac:dyDescent="0.3">
      <c r="A5" s="3">
        <v>1</v>
      </c>
      <c r="B5" s="3" t="s">
        <v>5</v>
      </c>
      <c r="C5" s="10" t="s">
        <v>6</v>
      </c>
      <c r="F5" s="10" t="s">
        <v>182</v>
      </c>
      <c r="G5" s="3">
        <v>2</v>
      </c>
    </row>
    <row r="6" spans="1:8" ht="28.8" x14ac:dyDescent="0.3">
      <c r="A6" s="3">
        <v>2</v>
      </c>
      <c r="B6" s="3" t="s">
        <v>5</v>
      </c>
      <c r="C6" s="10" t="s">
        <v>7</v>
      </c>
      <c r="F6" s="10" t="s">
        <v>66</v>
      </c>
      <c r="G6" s="3">
        <v>2</v>
      </c>
    </row>
    <row r="7" spans="1:8" ht="43.2" x14ac:dyDescent="0.3">
      <c r="A7" s="3">
        <v>3</v>
      </c>
      <c r="B7" s="3" t="s">
        <v>5</v>
      </c>
      <c r="C7" s="10" t="s">
        <v>8</v>
      </c>
      <c r="F7" s="10" t="s">
        <v>183</v>
      </c>
      <c r="G7" s="3">
        <v>2</v>
      </c>
    </row>
    <row r="8" spans="1:8" x14ac:dyDescent="0.3">
      <c r="A8" s="3">
        <v>4</v>
      </c>
      <c r="B8" s="3" t="s">
        <v>5</v>
      </c>
      <c r="C8" s="10" t="s">
        <v>60</v>
      </c>
      <c r="F8" s="10" t="s">
        <v>63</v>
      </c>
      <c r="G8" s="3">
        <v>0</v>
      </c>
    </row>
    <row r="9" spans="1:8" ht="43.2" x14ac:dyDescent="0.3">
      <c r="A9" s="3">
        <v>5</v>
      </c>
      <c r="B9" s="3" t="s">
        <v>5</v>
      </c>
      <c r="C9" s="10" t="s">
        <v>9</v>
      </c>
      <c r="F9" s="10" t="s">
        <v>184</v>
      </c>
      <c r="G9" s="3">
        <v>1</v>
      </c>
    </row>
    <row r="10" spans="1:8" ht="86.4" x14ac:dyDescent="0.3">
      <c r="A10" s="3">
        <v>6</v>
      </c>
      <c r="B10" s="3" t="s">
        <v>5</v>
      </c>
      <c r="C10" s="10" t="s">
        <v>10</v>
      </c>
      <c r="F10" s="10" t="s">
        <v>167</v>
      </c>
      <c r="G10" s="3">
        <v>1</v>
      </c>
    </row>
    <row r="11" spans="1:8" ht="86.4" x14ac:dyDescent="0.3">
      <c r="A11" s="3">
        <v>7</v>
      </c>
      <c r="B11" s="3" t="s">
        <v>5</v>
      </c>
      <c r="C11" s="10" t="s">
        <v>11</v>
      </c>
      <c r="F11" s="10" t="s">
        <v>168</v>
      </c>
      <c r="G11" s="3">
        <v>1</v>
      </c>
    </row>
    <row r="12" spans="1:8" ht="43.2" x14ac:dyDescent="0.3">
      <c r="A12" s="3">
        <v>8</v>
      </c>
      <c r="B12" s="3" t="s">
        <v>5</v>
      </c>
      <c r="C12" s="10" t="s">
        <v>12</v>
      </c>
      <c r="F12" s="10" t="s">
        <v>169</v>
      </c>
      <c r="G12" s="3">
        <v>1</v>
      </c>
    </row>
    <row r="13" spans="1:8" ht="230.4" x14ac:dyDescent="0.3">
      <c r="A13" s="3">
        <v>9</v>
      </c>
      <c r="B13" s="3" t="s">
        <v>5</v>
      </c>
      <c r="C13" s="10" t="s">
        <v>62</v>
      </c>
      <c r="F13" s="10" t="s">
        <v>224</v>
      </c>
      <c r="G13" s="3">
        <v>1</v>
      </c>
    </row>
    <row r="14" spans="1:8" x14ac:dyDescent="0.3">
      <c r="A14" s="3">
        <v>10</v>
      </c>
      <c r="B14" s="3" t="s">
        <v>5</v>
      </c>
      <c r="C14" s="10" t="s">
        <v>13</v>
      </c>
      <c r="F14" s="10" t="s">
        <v>63</v>
      </c>
      <c r="G14" s="3">
        <v>0</v>
      </c>
    </row>
    <row r="15" spans="1:8" x14ac:dyDescent="0.3">
      <c r="A15" s="3">
        <v>11</v>
      </c>
      <c r="B15" s="3" t="s">
        <v>14</v>
      </c>
      <c r="C15" s="10" t="s">
        <v>15</v>
      </c>
      <c r="F15" s="10" t="s">
        <v>63</v>
      </c>
      <c r="G15" s="3">
        <v>0</v>
      </c>
    </row>
    <row r="16" spans="1:8" x14ac:dyDescent="0.3">
      <c r="A16" s="3">
        <v>12</v>
      </c>
      <c r="B16" s="3" t="s">
        <v>14</v>
      </c>
      <c r="C16" s="10" t="s">
        <v>16</v>
      </c>
      <c r="F16" s="10" t="s">
        <v>187</v>
      </c>
      <c r="G16" s="3">
        <v>2</v>
      </c>
    </row>
    <row r="17" spans="1:7" ht="28.8" x14ac:dyDescent="0.3">
      <c r="A17" s="3">
        <v>13</v>
      </c>
      <c r="B17" s="3" t="s">
        <v>14</v>
      </c>
      <c r="C17" s="10" t="s">
        <v>17</v>
      </c>
      <c r="F17" s="10" t="s">
        <v>172</v>
      </c>
      <c r="G17" s="3">
        <v>2</v>
      </c>
    </row>
    <row r="18" spans="1:7" ht="28.8" x14ac:dyDescent="0.3">
      <c r="A18" s="3">
        <v>14</v>
      </c>
      <c r="B18" s="3" t="s">
        <v>14</v>
      </c>
      <c r="C18" s="10" t="s">
        <v>18</v>
      </c>
      <c r="F18" s="10" t="s">
        <v>173</v>
      </c>
      <c r="G18" s="3">
        <v>2</v>
      </c>
    </row>
    <row r="19" spans="1:7" x14ac:dyDescent="0.3">
      <c r="A19" s="3">
        <v>15</v>
      </c>
      <c r="B19" s="3" t="s">
        <v>14</v>
      </c>
      <c r="C19" s="10" t="s">
        <v>19</v>
      </c>
      <c r="F19" s="11" t="s">
        <v>63</v>
      </c>
      <c r="G19" s="3">
        <v>0</v>
      </c>
    </row>
    <row r="20" spans="1:7" ht="28.8" x14ac:dyDescent="0.3">
      <c r="A20" s="3">
        <v>16</v>
      </c>
      <c r="B20" s="3" t="s">
        <v>14</v>
      </c>
      <c r="C20" s="10" t="s">
        <v>20</v>
      </c>
      <c r="F20" s="11" t="s">
        <v>188</v>
      </c>
      <c r="G20" s="3">
        <v>2</v>
      </c>
    </row>
    <row r="21" spans="1:7" x14ac:dyDescent="0.3">
      <c r="A21" s="3">
        <v>17</v>
      </c>
      <c r="B21" s="3" t="s">
        <v>14</v>
      </c>
      <c r="C21" s="10" t="s">
        <v>21</v>
      </c>
      <c r="F21" s="10" t="s">
        <v>63</v>
      </c>
      <c r="G21" s="3">
        <v>2</v>
      </c>
    </row>
    <row r="22" spans="1:7" ht="57.6" x14ac:dyDescent="0.3">
      <c r="A22" s="3">
        <v>18</v>
      </c>
      <c r="B22" s="3" t="s">
        <v>14</v>
      </c>
      <c r="C22" s="10" t="s">
        <v>22</v>
      </c>
      <c r="F22" s="10" t="s">
        <v>189</v>
      </c>
      <c r="G22" s="3">
        <v>0</v>
      </c>
    </row>
    <row r="23" spans="1:7" ht="57.6" x14ac:dyDescent="0.3">
      <c r="A23" s="3">
        <v>19</v>
      </c>
      <c r="B23" s="3" t="s">
        <v>14</v>
      </c>
      <c r="C23" s="10" t="s">
        <v>23</v>
      </c>
      <c r="F23" s="10" t="s">
        <v>207</v>
      </c>
      <c r="G23" s="3">
        <v>0</v>
      </c>
    </row>
    <row r="24" spans="1:7" ht="72" x14ac:dyDescent="0.3">
      <c r="A24" s="3">
        <v>20</v>
      </c>
      <c r="B24" s="3" t="s">
        <v>14</v>
      </c>
      <c r="C24" s="10" t="s">
        <v>24</v>
      </c>
      <c r="F24" s="10" t="s">
        <v>191</v>
      </c>
      <c r="G24" s="3">
        <v>2</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x14ac:dyDescent="0.3">
      <c r="A29" s="3">
        <v>25</v>
      </c>
      <c r="B29" s="3" t="s">
        <v>25</v>
      </c>
      <c r="C29" s="10" t="s">
        <v>30</v>
      </c>
      <c r="F29" s="10" t="s">
        <v>63</v>
      </c>
      <c r="G29" s="3">
        <v>2</v>
      </c>
    </row>
    <row r="30" spans="1:7" x14ac:dyDescent="0.3">
      <c r="A30" s="3">
        <v>26</v>
      </c>
      <c r="B30" s="3" t="s">
        <v>31</v>
      </c>
      <c r="C30" s="10" t="s">
        <v>32</v>
      </c>
      <c r="F30" s="10" t="s">
        <v>63</v>
      </c>
      <c r="G30" s="3">
        <v>0</v>
      </c>
    </row>
    <row r="31" spans="1:7" ht="129.6" x14ac:dyDescent="0.3">
      <c r="A31" s="3">
        <v>27</v>
      </c>
      <c r="B31" s="3" t="s">
        <v>31</v>
      </c>
      <c r="C31" s="10" t="s">
        <v>33</v>
      </c>
      <c r="F31" s="10" t="s">
        <v>225</v>
      </c>
      <c r="G31" s="3">
        <v>1</v>
      </c>
    </row>
    <row r="32" spans="1:7" ht="43.2" x14ac:dyDescent="0.3">
      <c r="A32" s="3">
        <v>28</v>
      </c>
      <c r="B32" s="3" t="s">
        <v>31</v>
      </c>
      <c r="C32" s="10" t="s">
        <v>34</v>
      </c>
      <c r="F32" s="10" t="s">
        <v>83</v>
      </c>
      <c r="G32" s="3">
        <v>2</v>
      </c>
    </row>
    <row r="33" spans="1:8" x14ac:dyDescent="0.3">
      <c r="A33" s="3">
        <v>29</v>
      </c>
      <c r="B33" s="3" t="s">
        <v>31</v>
      </c>
      <c r="C33" s="10" t="s">
        <v>35</v>
      </c>
      <c r="F33" s="10" t="s">
        <v>63</v>
      </c>
      <c r="G33" s="3">
        <v>0</v>
      </c>
    </row>
    <row r="34" spans="1:8" x14ac:dyDescent="0.3">
      <c r="A34" s="3">
        <v>30</v>
      </c>
      <c r="B34" s="3" t="s">
        <v>31</v>
      </c>
      <c r="C34" s="10" t="s">
        <v>36</v>
      </c>
      <c r="F34" s="10" t="s">
        <v>63</v>
      </c>
      <c r="G34" s="3">
        <v>0</v>
      </c>
    </row>
    <row r="35" spans="1:8" ht="28.8" x14ac:dyDescent="0.3">
      <c r="A35">
        <v>31</v>
      </c>
      <c r="B35"/>
      <c r="C35" s="10" t="s">
        <v>114</v>
      </c>
      <c r="F35" s="12" t="s">
        <v>177</v>
      </c>
      <c r="G35" s="3">
        <v>2</v>
      </c>
    </row>
    <row r="36" spans="1:8" ht="86.4" x14ac:dyDescent="0.3">
      <c r="A36">
        <v>32</v>
      </c>
      <c r="B36"/>
      <c r="C36" s="10" t="s">
        <v>117</v>
      </c>
      <c r="F36" s="13" t="s">
        <v>196</v>
      </c>
      <c r="G36" s="3">
        <v>2</v>
      </c>
    </row>
    <row r="37" spans="1:8" ht="28.8" x14ac:dyDescent="0.3">
      <c r="A37">
        <v>33</v>
      </c>
      <c r="B37"/>
      <c r="C37" s="10" t="s">
        <v>120</v>
      </c>
      <c r="F37" s="12" t="s">
        <v>63</v>
      </c>
      <c r="G37" s="3">
        <v>0</v>
      </c>
    </row>
    <row r="38" spans="1:8" ht="158.4" x14ac:dyDescent="0.3">
      <c r="A38">
        <v>34</v>
      </c>
      <c r="B38"/>
      <c r="C38" s="10" t="s">
        <v>123</v>
      </c>
      <c r="F38" s="13" t="s">
        <v>197</v>
      </c>
      <c r="G38" s="3">
        <v>2</v>
      </c>
    </row>
    <row r="39" spans="1:8" ht="72" x14ac:dyDescent="0.3">
      <c r="A39">
        <v>35</v>
      </c>
      <c r="B39"/>
      <c r="C39" s="10" t="s">
        <v>126</v>
      </c>
      <c r="F39" s="13" t="s">
        <v>180</v>
      </c>
      <c r="G39" s="3">
        <v>2</v>
      </c>
    </row>
    <row r="41" spans="1:8" x14ac:dyDescent="0.3">
      <c r="F41" s="14" t="s">
        <v>164</v>
      </c>
      <c r="G41" s="8">
        <f>SUM(G5:G39)</f>
        <v>44</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E5:E34 G5:G39" xr:uid="{A8848A02-0EFC-4E41-9B02-0DF0C484C5E1}">
      <formula1>"0,1,2"</formula1>
    </dataValidation>
    <dataValidation type="list" allowBlank="1" showInputMessage="1" showErrorMessage="1" sqref="D5:D34" xr:uid="{30CB70FF-3485-4C28-8367-A80E0EB2C8C9}">
      <formula1>"Y,N"</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19333-3349-43DF-9A46-A41D48B77FAC}">
  <dimension ref="A2:H41"/>
  <sheetViews>
    <sheetView zoomScale="70" zoomScaleNormal="70" workbookViewId="0">
      <selection activeCell="C2" sqref="C2"/>
    </sheetView>
  </sheetViews>
  <sheetFormatPr defaultRowHeight="14.4" x14ac:dyDescent="0.3"/>
  <cols>
    <col min="1" max="1" width="7.88671875" style="3" customWidth="1"/>
    <col min="2" max="2" width="12" style="3" customWidth="1"/>
    <col min="3" max="3" width="90.33203125" style="3" customWidth="1"/>
    <col min="4" max="4" width="23.88671875" style="3" customWidth="1"/>
    <col min="5" max="5" width="20.88671875" style="3" customWidth="1"/>
    <col min="6" max="6" width="60.109375" style="10" customWidth="1"/>
    <col min="7" max="7" width="19.5546875" style="3" customWidth="1"/>
    <col min="8" max="8" width="41" style="3" customWidth="1"/>
  </cols>
  <sheetData>
    <row r="2" spans="1:8" x14ac:dyDescent="0.3">
      <c r="A2" s="16" t="s">
        <v>58</v>
      </c>
      <c r="B2" s="16"/>
      <c r="C2" s="3" t="s">
        <v>221</v>
      </c>
    </row>
    <row r="4" spans="1:8" x14ac:dyDescent="0.3">
      <c r="A4" s="3" t="s">
        <v>0</v>
      </c>
      <c r="B4" s="3" t="s">
        <v>1</v>
      </c>
      <c r="C4" s="3" t="s">
        <v>2</v>
      </c>
      <c r="D4" s="3" t="s">
        <v>53</v>
      </c>
      <c r="E4" s="3" t="s">
        <v>54</v>
      </c>
      <c r="F4" s="10" t="s">
        <v>55</v>
      </c>
      <c r="G4" s="3" t="s">
        <v>56</v>
      </c>
      <c r="H4" s="3" t="s">
        <v>57</v>
      </c>
    </row>
    <row r="5" spans="1:8" x14ac:dyDescent="0.3">
      <c r="A5" s="3">
        <v>1</v>
      </c>
      <c r="B5" s="3" t="s">
        <v>5</v>
      </c>
      <c r="C5" s="10" t="s">
        <v>6</v>
      </c>
      <c r="F5" s="10" t="s">
        <v>182</v>
      </c>
      <c r="G5" s="3">
        <v>2</v>
      </c>
    </row>
    <row r="6" spans="1:8" ht="28.8" x14ac:dyDescent="0.3">
      <c r="A6" s="3">
        <v>2</v>
      </c>
      <c r="B6" s="3" t="s">
        <v>5</v>
      </c>
      <c r="C6" s="10" t="s">
        <v>7</v>
      </c>
      <c r="F6" s="10" t="s">
        <v>66</v>
      </c>
      <c r="G6" s="3">
        <v>2</v>
      </c>
    </row>
    <row r="7" spans="1:8" ht="43.2" x14ac:dyDescent="0.3">
      <c r="A7" s="3">
        <v>3</v>
      </c>
      <c r="B7" s="3" t="s">
        <v>5</v>
      </c>
      <c r="C7" s="10" t="s">
        <v>8</v>
      </c>
      <c r="F7" s="10" t="s">
        <v>183</v>
      </c>
      <c r="G7" s="3">
        <v>2</v>
      </c>
    </row>
    <row r="8" spans="1:8" x14ac:dyDescent="0.3">
      <c r="A8" s="3">
        <v>4</v>
      </c>
      <c r="B8" s="3" t="s">
        <v>5</v>
      </c>
      <c r="C8" s="10" t="s">
        <v>60</v>
      </c>
      <c r="F8" s="10" t="s">
        <v>63</v>
      </c>
      <c r="G8" s="3">
        <v>0</v>
      </c>
    </row>
    <row r="9" spans="1:8" ht="43.2" x14ac:dyDescent="0.3">
      <c r="A9" s="3">
        <v>5</v>
      </c>
      <c r="B9" s="3" t="s">
        <v>5</v>
      </c>
      <c r="C9" s="10" t="s">
        <v>9</v>
      </c>
      <c r="F9" s="10" t="s">
        <v>184</v>
      </c>
      <c r="G9" s="3">
        <v>1</v>
      </c>
    </row>
    <row r="10" spans="1:8" ht="86.4" x14ac:dyDescent="0.3">
      <c r="A10" s="3">
        <v>6</v>
      </c>
      <c r="B10" s="3" t="s">
        <v>5</v>
      </c>
      <c r="C10" s="10" t="s">
        <v>10</v>
      </c>
      <c r="F10" s="10" t="s">
        <v>185</v>
      </c>
      <c r="G10" s="3">
        <v>1</v>
      </c>
    </row>
    <row r="11" spans="1:8" ht="86.4" x14ac:dyDescent="0.3">
      <c r="A11" s="3">
        <v>7</v>
      </c>
      <c r="B11" s="3" t="s">
        <v>5</v>
      </c>
      <c r="C11" s="10" t="s">
        <v>11</v>
      </c>
      <c r="F11" s="10" t="s">
        <v>168</v>
      </c>
      <c r="G11" s="3">
        <v>1</v>
      </c>
    </row>
    <row r="12" spans="1:8" ht="43.2" x14ac:dyDescent="0.3">
      <c r="A12" s="3">
        <v>8</v>
      </c>
      <c r="B12" s="3" t="s">
        <v>5</v>
      </c>
      <c r="C12" s="10" t="s">
        <v>12</v>
      </c>
      <c r="F12" s="10" t="s">
        <v>169</v>
      </c>
      <c r="G12" s="3">
        <v>1</v>
      </c>
    </row>
    <row r="13" spans="1:8" ht="259.2" x14ac:dyDescent="0.3">
      <c r="A13" s="3">
        <v>9</v>
      </c>
      <c r="B13" s="3" t="s">
        <v>5</v>
      </c>
      <c r="C13" s="10" t="s">
        <v>62</v>
      </c>
      <c r="F13" s="10" t="s">
        <v>226</v>
      </c>
      <c r="G13" s="3">
        <v>1</v>
      </c>
    </row>
    <row r="14" spans="1:8" x14ac:dyDescent="0.3">
      <c r="A14" s="3">
        <v>10</v>
      </c>
      <c r="B14" s="3" t="s">
        <v>5</v>
      </c>
      <c r="C14" s="10" t="s">
        <v>13</v>
      </c>
      <c r="F14" s="10" t="s">
        <v>63</v>
      </c>
      <c r="G14" s="3">
        <v>0</v>
      </c>
    </row>
    <row r="15" spans="1:8" x14ac:dyDescent="0.3">
      <c r="A15" s="3">
        <v>11</v>
      </c>
      <c r="B15" s="3" t="s">
        <v>14</v>
      </c>
      <c r="C15" s="10" t="s">
        <v>15</v>
      </c>
      <c r="F15" s="10" t="s">
        <v>63</v>
      </c>
      <c r="G15" s="3">
        <v>0</v>
      </c>
    </row>
    <row r="16" spans="1:8" x14ac:dyDescent="0.3">
      <c r="A16" s="3">
        <v>12</v>
      </c>
      <c r="B16" s="3" t="s">
        <v>14</v>
      </c>
      <c r="C16" s="10" t="s">
        <v>16</v>
      </c>
      <c r="F16" s="10" t="s">
        <v>187</v>
      </c>
      <c r="G16" s="3">
        <v>2</v>
      </c>
    </row>
    <row r="17" spans="1:7" ht="28.8" x14ac:dyDescent="0.3">
      <c r="A17" s="3">
        <v>13</v>
      </c>
      <c r="B17" s="3" t="s">
        <v>14</v>
      </c>
      <c r="C17" s="10" t="s">
        <v>17</v>
      </c>
      <c r="F17" s="10" t="s">
        <v>172</v>
      </c>
      <c r="G17" s="3">
        <v>2</v>
      </c>
    </row>
    <row r="18" spans="1:7" ht="28.8" x14ac:dyDescent="0.3">
      <c r="A18" s="3">
        <v>14</v>
      </c>
      <c r="B18" s="3" t="s">
        <v>14</v>
      </c>
      <c r="C18" s="10" t="s">
        <v>18</v>
      </c>
      <c r="F18" s="10" t="s">
        <v>173</v>
      </c>
      <c r="G18" s="3">
        <v>2</v>
      </c>
    </row>
    <row r="19" spans="1:7" ht="259.2" x14ac:dyDescent="0.3">
      <c r="A19" s="3">
        <v>15</v>
      </c>
      <c r="B19" s="3" t="s">
        <v>14</v>
      </c>
      <c r="C19" s="10" t="s">
        <v>19</v>
      </c>
      <c r="F19" s="11" t="s">
        <v>227</v>
      </c>
      <c r="G19" s="3">
        <v>1</v>
      </c>
    </row>
    <row r="20" spans="1:7" ht="43.2" x14ac:dyDescent="0.3">
      <c r="A20" s="3">
        <v>16</v>
      </c>
      <c r="B20" s="3" t="s">
        <v>14</v>
      </c>
      <c r="C20" s="10" t="s">
        <v>20</v>
      </c>
      <c r="F20" s="11" t="s">
        <v>228</v>
      </c>
      <c r="G20" s="3">
        <v>2</v>
      </c>
    </row>
    <row r="21" spans="1:7" x14ac:dyDescent="0.3">
      <c r="A21" s="3">
        <v>17</v>
      </c>
      <c r="B21" s="3" t="s">
        <v>14</v>
      </c>
      <c r="C21" s="10" t="s">
        <v>21</v>
      </c>
      <c r="F21" s="10" t="s">
        <v>63</v>
      </c>
      <c r="G21" s="3">
        <v>2</v>
      </c>
    </row>
    <row r="22" spans="1:7" ht="57.6" x14ac:dyDescent="0.3">
      <c r="A22" s="3">
        <v>18</v>
      </c>
      <c r="B22" s="3" t="s">
        <v>14</v>
      </c>
      <c r="C22" s="10" t="s">
        <v>22</v>
      </c>
      <c r="F22" s="10" t="s">
        <v>189</v>
      </c>
      <c r="G22" s="3">
        <v>0</v>
      </c>
    </row>
    <row r="23" spans="1:7" ht="57.6" x14ac:dyDescent="0.3">
      <c r="A23" s="3">
        <v>19</v>
      </c>
      <c r="B23" s="3" t="s">
        <v>14</v>
      </c>
      <c r="C23" s="10" t="s">
        <v>23</v>
      </c>
      <c r="F23" s="10" t="s">
        <v>207</v>
      </c>
      <c r="G23" s="3">
        <v>0</v>
      </c>
    </row>
    <row r="24" spans="1:7" ht="72" x14ac:dyDescent="0.3">
      <c r="A24" s="3">
        <v>20</v>
      </c>
      <c r="B24" s="3" t="s">
        <v>14</v>
      </c>
      <c r="C24" s="10" t="s">
        <v>24</v>
      </c>
      <c r="F24" s="10" t="s">
        <v>191</v>
      </c>
      <c r="G24" s="3">
        <v>2</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x14ac:dyDescent="0.3">
      <c r="A29" s="3">
        <v>25</v>
      </c>
      <c r="B29" s="3" t="s">
        <v>25</v>
      </c>
      <c r="C29" s="10" t="s">
        <v>30</v>
      </c>
      <c r="F29" s="10" t="s">
        <v>63</v>
      </c>
      <c r="G29" s="3">
        <v>2</v>
      </c>
    </row>
    <row r="30" spans="1:7" x14ac:dyDescent="0.3">
      <c r="A30" s="3">
        <v>26</v>
      </c>
      <c r="B30" s="3" t="s">
        <v>31</v>
      </c>
      <c r="C30" s="10" t="s">
        <v>32</v>
      </c>
      <c r="F30" s="10" t="s">
        <v>63</v>
      </c>
      <c r="G30" s="3">
        <v>0</v>
      </c>
    </row>
    <row r="31" spans="1:7" ht="172.8" x14ac:dyDescent="0.3">
      <c r="A31" s="3">
        <v>27</v>
      </c>
      <c r="B31" s="3" t="s">
        <v>31</v>
      </c>
      <c r="C31" s="10" t="s">
        <v>33</v>
      </c>
      <c r="F31" s="10" t="s">
        <v>229</v>
      </c>
      <c r="G31" s="3">
        <v>1</v>
      </c>
    </row>
    <row r="32" spans="1:7" ht="43.2" x14ac:dyDescent="0.3">
      <c r="A32" s="3">
        <v>28</v>
      </c>
      <c r="B32" s="3" t="s">
        <v>31</v>
      </c>
      <c r="C32" s="10" t="s">
        <v>34</v>
      </c>
      <c r="F32" s="10" t="s">
        <v>83</v>
      </c>
      <c r="G32" s="3">
        <v>2</v>
      </c>
    </row>
    <row r="33" spans="1:8" ht="144" x14ac:dyDescent="0.3">
      <c r="A33" s="3">
        <v>29</v>
      </c>
      <c r="B33" s="3" t="s">
        <v>31</v>
      </c>
      <c r="C33" s="10" t="s">
        <v>35</v>
      </c>
      <c r="F33" s="10" t="s">
        <v>195</v>
      </c>
      <c r="G33" s="3">
        <v>0</v>
      </c>
    </row>
    <row r="34" spans="1:8" x14ac:dyDescent="0.3">
      <c r="A34" s="3">
        <v>30</v>
      </c>
      <c r="B34" s="3" t="s">
        <v>31</v>
      </c>
      <c r="C34" s="10" t="s">
        <v>36</v>
      </c>
      <c r="F34" s="10" t="s">
        <v>63</v>
      </c>
      <c r="G34" s="3">
        <v>0</v>
      </c>
    </row>
    <row r="35" spans="1:8" ht="28.8" x14ac:dyDescent="0.3">
      <c r="A35">
        <v>31</v>
      </c>
      <c r="B35"/>
      <c r="C35" s="10" t="s">
        <v>114</v>
      </c>
      <c r="F35" s="12" t="s">
        <v>177</v>
      </c>
      <c r="G35" s="3">
        <v>2</v>
      </c>
    </row>
    <row r="36" spans="1:8" ht="86.4" x14ac:dyDescent="0.3">
      <c r="A36">
        <v>32</v>
      </c>
      <c r="B36"/>
      <c r="C36" s="10" t="s">
        <v>117</v>
      </c>
      <c r="F36" s="13" t="s">
        <v>196</v>
      </c>
      <c r="G36" s="3">
        <v>2</v>
      </c>
    </row>
    <row r="37" spans="1:8" ht="28.8" x14ac:dyDescent="0.3">
      <c r="A37">
        <v>33</v>
      </c>
      <c r="B37"/>
      <c r="C37" s="10" t="s">
        <v>120</v>
      </c>
      <c r="F37" s="12" t="s">
        <v>63</v>
      </c>
      <c r="G37" s="3">
        <v>0</v>
      </c>
    </row>
    <row r="38" spans="1:8" ht="158.4" x14ac:dyDescent="0.3">
      <c r="A38">
        <v>34</v>
      </c>
      <c r="B38"/>
      <c r="C38" s="10" t="s">
        <v>123</v>
      </c>
      <c r="F38" s="13" t="s">
        <v>197</v>
      </c>
      <c r="G38" s="3">
        <v>2</v>
      </c>
    </row>
    <row r="39" spans="1:8" ht="72" x14ac:dyDescent="0.3">
      <c r="A39">
        <v>35</v>
      </c>
      <c r="B39"/>
      <c r="C39" s="10" t="s">
        <v>126</v>
      </c>
      <c r="F39" s="13" t="s">
        <v>180</v>
      </c>
      <c r="G39" s="3">
        <v>2</v>
      </c>
    </row>
    <row r="41" spans="1:8" x14ac:dyDescent="0.3">
      <c r="F41" s="14" t="s">
        <v>164</v>
      </c>
      <c r="G41" s="8">
        <f>SUM(G5:G39)</f>
        <v>45</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D5:D34" xr:uid="{24D315BD-3D24-4A56-BB0E-199B0314A03E}">
      <formula1>"Y,N"</formula1>
    </dataValidation>
    <dataValidation type="list" allowBlank="1" showInputMessage="1" showErrorMessage="1" sqref="E5:E34 G5:G39" xr:uid="{EC0438B8-E819-4407-B7C8-1C2A2DDF0375}">
      <formula1>"0,1,2"</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FC580-B57E-4F81-B2CB-A0701EEBF0F6}">
  <dimension ref="A2:H41"/>
  <sheetViews>
    <sheetView topLeftCell="C1" zoomScale="70" zoomScaleNormal="70" workbookViewId="0">
      <selection activeCell="C2" sqref="C2"/>
    </sheetView>
  </sheetViews>
  <sheetFormatPr defaultRowHeight="14.4" x14ac:dyDescent="0.3"/>
  <cols>
    <col min="1" max="1" width="7.88671875" style="3" customWidth="1"/>
    <col min="2" max="2" width="12" style="3" customWidth="1"/>
    <col min="3" max="3" width="90.33203125" style="3" customWidth="1"/>
    <col min="4" max="4" width="23.88671875" style="3" customWidth="1"/>
    <col min="5" max="5" width="20.88671875" style="3" customWidth="1"/>
    <col min="6" max="6" width="60.109375" style="10" customWidth="1"/>
    <col min="7" max="7" width="19.5546875" style="3" customWidth="1"/>
    <col min="8" max="8" width="41" style="3" customWidth="1"/>
  </cols>
  <sheetData>
    <row r="2" spans="1:8" x14ac:dyDescent="0.3">
      <c r="A2" s="16" t="s">
        <v>58</v>
      </c>
      <c r="B2" s="16"/>
      <c r="C2" s="3" t="s">
        <v>222</v>
      </c>
    </row>
    <row r="4" spans="1:8" x14ac:dyDescent="0.3">
      <c r="A4" s="3" t="s">
        <v>0</v>
      </c>
      <c r="B4" s="3" t="s">
        <v>1</v>
      </c>
      <c r="C4" s="3" t="s">
        <v>2</v>
      </c>
      <c r="D4" s="3" t="s">
        <v>53</v>
      </c>
      <c r="E4" s="3" t="s">
        <v>54</v>
      </c>
      <c r="F4" s="10" t="s">
        <v>55</v>
      </c>
      <c r="G4" s="3" t="s">
        <v>56</v>
      </c>
      <c r="H4" s="3" t="s">
        <v>57</v>
      </c>
    </row>
    <row r="5" spans="1:8" x14ac:dyDescent="0.3">
      <c r="A5" s="3">
        <v>1</v>
      </c>
      <c r="B5" s="3" t="s">
        <v>5</v>
      </c>
      <c r="C5" s="10" t="s">
        <v>6</v>
      </c>
      <c r="F5" s="10" t="s">
        <v>182</v>
      </c>
      <c r="G5" s="3">
        <v>2</v>
      </c>
    </row>
    <row r="6" spans="1:8" ht="28.8" x14ac:dyDescent="0.3">
      <c r="A6" s="3">
        <v>2</v>
      </c>
      <c r="B6" s="3" t="s">
        <v>5</v>
      </c>
      <c r="C6" s="10" t="s">
        <v>7</v>
      </c>
      <c r="F6" s="10" t="s">
        <v>66</v>
      </c>
      <c r="G6" s="3">
        <v>2</v>
      </c>
    </row>
    <row r="7" spans="1:8" ht="43.2" x14ac:dyDescent="0.3">
      <c r="A7" s="3">
        <v>3</v>
      </c>
      <c r="B7" s="3" t="s">
        <v>5</v>
      </c>
      <c r="C7" s="10" t="s">
        <v>8</v>
      </c>
      <c r="F7" s="10" t="s">
        <v>183</v>
      </c>
      <c r="G7" s="3">
        <v>2</v>
      </c>
    </row>
    <row r="8" spans="1:8" x14ac:dyDescent="0.3">
      <c r="A8" s="3">
        <v>4</v>
      </c>
      <c r="B8" s="3" t="s">
        <v>5</v>
      </c>
      <c r="C8" s="10" t="s">
        <v>60</v>
      </c>
      <c r="F8" s="10" t="s">
        <v>63</v>
      </c>
      <c r="G8" s="3">
        <v>0</v>
      </c>
    </row>
    <row r="9" spans="1:8" ht="43.2" x14ac:dyDescent="0.3">
      <c r="A9" s="3">
        <v>5</v>
      </c>
      <c r="B9" s="3" t="s">
        <v>5</v>
      </c>
      <c r="C9" s="10" t="s">
        <v>9</v>
      </c>
      <c r="F9" s="10" t="s">
        <v>184</v>
      </c>
      <c r="G9" s="3">
        <v>1</v>
      </c>
    </row>
    <row r="10" spans="1:8" ht="86.4" x14ac:dyDescent="0.3">
      <c r="A10" s="3">
        <v>6</v>
      </c>
      <c r="B10" s="3" t="s">
        <v>5</v>
      </c>
      <c r="C10" s="10" t="s">
        <v>10</v>
      </c>
      <c r="F10" s="10" t="s">
        <v>185</v>
      </c>
      <c r="G10" s="3">
        <v>1</v>
      </c>
    </row>
    <row r="11" spans="1:8" ht="86.4" x14ac:dyDescent="0.3">
      <c r="A11" s="3">
        <v>7</v>
      </c>
      <c r="B11" s="3" t="s">
        <v>5</v>
      </c>
      <c r="C11" s="10" t="s">
        <v>11</v>
      </c>
      <c r="F11" s="10" t="s">
        <v>168</v>
      </c>
      <c r="G11" s="3">
        <v>1</v>
      </c>
    </row>
    <row r="12" spans="1:8" ht="43.2" x14ac:dyDescent="0.3">
      <c r="A12" s="3">
        <v>8</v>
      </c>
      <c r="B12" s="3" t="s">
        <v>5</v>
      </c>
      <c r="C12" s="10" t="s">
        <v>12</v>
      </c>
      <c r="F12" s="10" t="s">
        <v>169</v>
      </c>
      <c r="G12" s="3">
        <v>1</v>
      </c>
    </row>
    <row r="13" spans="1:8" ht="302.39999999999998" x14ac:dyDescent="0.3">
      <c r="A13" s="3">
        <v>9</v>
      </c>
      <c r="B13" s="3" t="s">
        <v>5</v>
      </c>
      <c r="C13" s="10" t="s">
        <v>62</v>
      </c>
      <c r="F13" s="10" t="s">
        <v>230</v>
      </c>
      <c r="G13" s="3">
        <v>1</v>
      </c>
    </row>
    <row r="14" spans="1:8" x14ac:dyDescent="0.3">
      <c r="A14" s="3">
        <v>10</v>
      </c>
      <c r="B14" s="3" t="s">
        <v>5</v>
      </c>
      <c r="C14" s="10" t="s">
        <v>13</v>
      </c>
      <c r="F14" s="10" t="s">
        <v>63</v>
      </c>
      <c r="G14" s="3">
        <v>0</v>
      </c>
    </row>
    <row r="15" spans="1:8" x14ac:dyDescent="0.3">
      <c r="A15" s="3">
        <v>11</v>
      </c>
      <c r="B15" s="3" t="s">
        <v>14</v>
      </c>
      <c r="C15" s="10" t="s">
        <v>15</v>
      </c>
      <c r="F15" s="10" t="s">
        <v>63</v>
      </c>
      <c r="G15" s="3">
        <v>0</v>
      </c>
    </row>
    <row r="16" spans="1:8" x14ac:dyDescent="0.3">
      <c r="A16" s="3">
        <v>12</v>
      </c>
      <c r="B16" s="3" t="s">
        <v>14</v>
      </c>
      <c r="C16" s="10" t="s">
        <v>16</v>
      </c>
      <c r="F16" s="10" t="s">
        <v>187</v>
      </c>
      <c r="G16" s="3">
        <v>2</v>
      </c>
    </row>
    <row r="17" spans="1:7" ht="28.8" x14ac:dyDescent="0.3">
      <c r="A17" s="3">
        <v>13</v>
      </c>
      <c r="B17" s="3" t="s">
        <v>14</v>
      </c>
      <c r="C17" s="10" t="s">
        <v>17</v>
      </c>
      <c r="F17" s="10" t="s">
        <v>172</v>
      </c>
      <c r="G17" s="3">
        <v>2</v>
      </c>
    </row>
    <row r="18" spans="1:7" ht="28.8" x14ac:dyDescent="0.3">
      <c r="A18" s="3">
        <v>14</v>
      </c>
      <c r="B18" s="3" t="s">
        <v>14</v>
      </c>
      <c r="C18" s="10" t="s">
        <v>18</v>
      </c>
      <c r="F18" s="10" t="s">
        <v>173</v>
      </c>
      <c r="G18" s="3">
        <v>2</v>
      </c>
    </row>
    <row r="19" spans="1:7" x14ac:dyDescent="0.3">
      <c r="A19" s="3">
        <v>15</v>
      </c>
      <c r="B19" s="3" t="s">
        <v>14</v>
      </c>
      <c r="C19" s="10" t="s">
        <v>19</v>
      </c>
      <c r="F19" s="11" t="s">
        <v>63</v>
      </c>
      <c r="G19" s="3">
        <v>0</v>
      </c>
    </row>
    <row r="20" spans="1:7" ht="43.2" x14ac:dyDescent="0.3">
      <c r="A20" s="3">
        <v>16</v>
      </c>
      <c r="B20" s="3" t="s">
        <v>14</v>
      </c>
      <c r="C20" s="10" t="s">
        <v>20</v>
      </c>
      <c r="F20" s="11" t="s">
        <v>231</v>
      </c>
      <c r="G20" s="3">
        <v>2</v>
      </c>
    </row>
    <row r="21" spans="1:7" x14ac:dyDescent="0.3">
      <c r="A21" s="3">
        <v>17</v>
      </c>
      <c r="B21" s="3" t="s">
        <v>14</v>
      </c>
      <c r="C21" s="10" t="s">
        <v>21</v>
      </c>
      <c r="F21" s="10" t="s">
        <v>63</v>
      </c>
      <c r="G21" s="3">
        <v>2</v>
      </c>
    </row>
    <row r="22" spans="1:7" x14ac:dyDescent="0.3">
      <c r="A22" s="3">
        <v>18</v>
      </c>
      <c r="B22" s="3" t="s">
        <v>14</v>
      </c>
      <c r="C22" s="10" t="s">
        <v>22</v>
      </c>
      <c r="F22" s="10" t="s">
        <v>63</v>
      </c>
      <c r="G22" s="3">
        <v>0</v>
      </c>
    </row>
    <row r="23" spans="1:7" x14ac:dyDescent="0.3">
      <c r="A23" s="3">
        <v>19</v>
      </c>
      <c r="B23" s="3" t="s">
        <v>14</v>
      </c>
      <c r="C23" s="10" t="s">
        <v>23</v>
      </c>
      <c r="F23" s="10" t="s">
        <v>63</v>
      </c>
      <c r="G23" s="3">
        <v>0</v>
      </c>
    </row>
    <row r="24" spans="1:7" ht="72" x14ac:dyDescent="0.3">
      <c r="A24" s="3">
        <v>20</v>
      </c>
      <c r="B24" s="3" t="s">
        <v>14</v>
      </c>
      <c r="C24" s="10" t="s">
        <v>24</v>
      </c>
      <c r="F24" s="10" t="s">
        <v>191</v>
      </c>
      <c r="G24" s="3">
        <v>2</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x14ac:dyDescent="0.3">
      <c r="A29" s="3">
        <v>25</v>
      </c>
      <c r="B29" s="3" t="s">
        <v>25</v>
      </c>
      <c r="C29" s="10" t="s">
        <v>30</v>
      </c>
      <c r="F29" s="10" t="s">
        <v>63</v>
      </c>
      <c r="G29" s="3">
        <v>2</v>
      </c>
    </row>
    <row r="30" spans="1:7" ht="144" x14ac:dyDescent="0.3">
      <c r="A30" s="3">
        <v>26</v>
      </c>
      <c r="B30" s="3" t="s">
        <v>31</v>
      </c>
      <c r="C30" s="10" t="s">
        <v>32</v>
      </c>
      <c r="F30" s="10" t="s">
        <v>232</v>
      </c>
      <c r="G30" s="3">
        <v>1</v>
      </c>
    </row>
    <row r="31" spans="1:7" ht="115.2" x14ac:dyDescent="0.3">
      <c r="A31" s="3">
        <v>27</v>
      </c>
      <c r="B31" s="3" t="s">
        <v>31</v>
      </c>
      <c r="C31" s="10" t="s">
        <v>33</v>
      </c>
      <c r="F31" s="10" t="s">
        <v>194</v>
      </c>
      <c r="G31" s="3">
        <v>1</v>
      </c>
    </row>
    <row r="32" spans="1:7" ht="43.2" x14ac:dyDescent="0.3">
      <c r="A32" s="3">
        <v>28</v>
      </c>
      <c r="B32" s="3" t="s">
        <v>31</v>
      </c>
      <c r="C32" s="10" t="s">
        <v>34</v>
      </c>
      <c r="F32" s="10" t="s">
        <v>83</v>
      </c>
      <c r="G32" s="3">
        <v>2</v>
      </c>
    </row>
    <row r="33" spans="1:8" x14ac:dyDescent="0.3">
      <c r="A33" s="3">
        <v>29</v>
      </c>
      <c r="B33" s="3" t="s">
        <v>31</v>
      </c>
      <c r="C33" s="10" t="s">
        <v>35</v>
      </c>
      <c r="F33" s="10" t="s">
        <v>63</v>
      </c>
      <c r="G33" s="3">
        <v>0</v>
      </c>
    </row>
    <row r="34" spans="1:8" x14ac:dyDescent="0.3">
      <c r="A34" s="3">
        <v>30</v>
      </c>
      <c r="B34" s="3" t="s">
        <v>31</v>
      </c>
      <c r="C34" s="10" t="s">
        <v>36</v>
      </c>
      <c r="F34" s="10" t="s">
        <v>63</v>
      </c>
      <c r="G34" s="3">
        <v>0</v>
      </c>
    </row>
    <row r="35" spans="1:8" ht="28.8" x14ac:dyDescent="0.3">
      <c r="A35">
        <v>31</v>
      </c>
      <c r="B35"/>
      <c r="C35" s="10" t="s">
        <v>114</v>
      </c>
      <c r="F35" s="12" t="s">
        <v>177</v>
      </c>
      <c r="G35" s="3">
        <v>2</v>
      </c>
    </row>
    <row r="36" spans="1:8" ht="86.4" x14ac:dyDescent="0.3">
      <c r="A36">
        <v>32</v>
      </c>
      <c r="B36"/>
      <c r="C36" s="10" t="s">
        <v>117</v>
      </c>
      <c r="F36" s="13" t="s">
        <v>196</v>
      </c>
      <c r="G36" s="3">
        <v>2</v>
      </c>
    </row>
    <row r="37" spans="1:8" ht="28.8" x14ac:dyDescent="0.3">
      <c r="A37">
        <v>33</v>
      </c>
      <c r="B37"/>
      <c r="C37" s="10" t="s">
        <v>120</v>
      </c>
      <c r="F37" s="12" t="s">
        <v>63</v>
      </c>
      <c r="G37" s="3">
        <v>0</v>
      </c>
    </row>
    <row r="38" spans="1:8" ht="158.4" x14ac:dyDescent="0.3">
      <c r="A38">
        <v>34</v>
      </c>
      <c r="B38"/>
      <c r="C38" s="10" t="s">
        <v>123</v>
      </c>
      <c r="F38" s="13" t="s">
        <v>197</v>
      </c>
      <c r="G38" s="3">
        <v>2</v>
      </c>
    </row>
    <row r="39" spans="1:8" ht="72" x14ac:dyDescent="0.3">
      <c r="A39">
        <v>35</v>
      </c>
      <c r="B39"/>
      <c r="C39" s="10" t="s">
        <v>126</v>
      </c>
      <c r="F39" s="13" t="s">
        <v>180</v>
      </c>
      <c r="G39" s="3">
        <v>2</v>
      </c>
    </row>
    <row r="41" spans="1:8" x14ac:dyDescent="0.3">
      <c r="F41" s="14" t="s">
        <v>164</v>
      </c>
      <c r="G41" s="8">
        <f>SUM(G5:G39)</f>
        <v>45</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E5:E34 G5:G39" xr:uid="{BF8CB64B-19D9-4440-BEF3-0615D5BC0DC7}">
      <formula1>"0,1,2"</formula1>
    </dataValidation>
    <dataValidation type="list" allowBlank="1" showInputMessage="1" showErrorMessage="1" sqref="D5:D34" xr:uid="{12511770-EA66-429F-AA63-AA2C233EF4DF}">
      <formula1>"Y,N"</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C751-C179-4611-82E7-F3051D36617C}">
  <dimension ref="A2:H41"/>
  <sheetViews>
    <sheetView zoomScale="70" zoomScaleNormal="70" workbookViewId="0">
      <selection sqref="A1:XFD1048576"/>
    </sheetView>
  </sheetViews>
  <sheetFormatPr defaultRowHeight="14.4" x14ac:dyDescent="0.3"/>
  <cols>
    <col min="1" max="1" width="7.88671875" style="3" customWidth="1"/>
    <col min="2" max="2" width="12" style="3" customWidth="1"/>
    <col min="3" max="3" width="90.33203125" style="3" customWidth="1"/>
    <col min="4" max="4" width="23.88671875" style="3" customWidth="1"/>
    <col min="5" max="5" width="20.88671875" style="3" customWidth="1"/>
    <col min="6" max="6" width="60.109375" style="10" customWidth="1"/>
    <col min="7" max="7" width="19.5546875" style="3" customWidth="1"/>
    <col min="8" max="8" width="41" style="3" customWidth="1"/>
  </cols>
  <sheetData>
    <row r="2" spans="1:8" x14ac:dyDescent="0.3">
      <c r="A2" s="16" t="s">
        <v>58</v>
      </c>
      <c r="B2" s="16"/>
      <c r="C2" s="3" t="s">
        <v>223</v>
      </c>
    </row>
    <row r="4" spans="1:8" x14ac:dyDescent="0.3">
      <c r="A4" s="3" t="s">
        <v>0</v>
      </c>
      <c r="B4" s="3" t="s">
        <v>1</v>
      </c>
      <c r="C4" s="3" t="s">
        <v>2</v>
      </c>
      <c r="D4" s="3" t="s">
        <v>53</v>
      </c>
      <c r="E4" s="3" t="s">
        <v>54</v>
      </c>
      <c r="F4" s="10" t="s">
        <v>55</v>
      </c>
      <c r="G4" s="3" t="s">
        <v>56</v>
      </c>
      <c r="H4" s="3" t="s">
        <v>57</v>
      </c>
    </row>
    <row r="5" spans="1:8" x14ac:dyDescent="0.3">
      <c r="A5" s="3">
        <v>1</v>
      </c>
      <c r="B5" s="3" t="s">
        <v>5</v>
      </c>
      <c r="C5" s="10" t="s">
        <v>6</v>
      </c>
      <c r="F5" s="10" t="s">
        <v>182</v>
      </c>
      <c r="G5" s="3">
        <v>2</v>
      </c>
    </row>
    <row r="6" spans="1:8" ht="28.8" x14ac:dyDescent="0.3">
      <c r="A6" s="3">
        <v>2</v>
      </c>
      <c r="B6" s="3" t="s">
        <v>5</v>
      </c>
      <c r="C6" s="10" t="s">
        <v>7</v>
      </c>
      <c r="F6" s="10" t="s">
        <v>66</v>
      </c>
      <c r="G6" s="3">
        <v>2</v>
      </c>
    </row>
    <row r="7" spans="1:8" ht="43.2" x14ac:dyDescent="0.3">
      <c r="A7" s="3">
        <v>3</v>
      </c>
      <c r="B7" s="3" t="s">
        <v>5</v>
      </c>
      <c r="C7" s="10" t="s">
        <v>8</v>
      </c>
      <c r="F7" s="10" t="s">
        <v>183</v>
      </c>
      <c r="G7" s="3">
        <v>2</v>
      </c>
    </row>
    <row r="8" spans="1:8" x14ac:dyDescent="0.3">
      <c r="A8" s="3">
        <v>4</v>
      </c>
      <c r="B8" s="3" t="s">
        <v>5</v>
      </c>
      <c r="C8" s="10" t="s">
        <v>60</v>
      </c>
      <c r="F8" s="10" t="s">
        <v>63</v>
      </c>
      <c r="G8" s="3">
        <v>0</v>
      </c>
    </row>
    <row r="9" spans="1:8" ht="43.2" x14ac:dyDescent="0.3">
      <c r="A9" s="3">
        <v>5</v>
      </c>
      <c r="B9" s="3" t="s">
        <v>5</v>
      </c>
      <c r="C9" s="10" t="s">
        <v>9</v>
      </c>
      <c r="F9" s="10" t="s">
        <v>184</v>
      </c>
      <c r="G9" s="3">
        <v>1</v>
      </c>
    </row>
    <row r="10" spans="1:8" ht="86.4" x14ac:dyDescent="0.3">
      <c r="A10" s="3">
        <v>6</v>
      </c>
      <c r="B10" s="3" t="s">
        <v>5</v>
      </c>
      <c r="C10" s="10" t="s">
        <v>10</v>
      </c>
      <c r="F10" s="10" t="s">
        <v>185</v>
      </c>
      <c r="G10" s="3">
        <v>1</v>
      </c>
    </row>
    <row r="11" spans="1:8" ht="86.4" x14ac:dyDescent="0.3">
      <c r="A11" s="3">
        <v>7</v>
      </c>
      <c r="B11" s="3" t="s">
        <v>5</v>
      </c>
      <c r="C11" s="10" t="s">
        <v>11</v>
      </c>
      <c r="F11" s="10" t="s">
        <v>168</v>
      </c>
      <c r="G11" s="3">
        <v>1</v>
      </c>
    </row>
    <row r="12" spans="1:8" ht="43.2" x14ac:dyDescent="0.3">
      <c r="A12" s="3">
        <v>8</v>
      </c>
      <c r="B12" s="3" t="s">
        <v>5</v>
      </c>
      <c r="C12" s="10" t="s">
        <v>12</v>
      </c>
      <c r="F12" s="10" t="s">
        <v>169</v>
      </c>
      <c r="G12" s="3">
        <v>1</v>
      </c>
    </row>
    <row r="13" spans="1:8" ht="273.60000000000002" x14ac:dyDescent="0.3">
      <c r="A13" s="3">
        <v>9</v>
      </c>
      <c r="B13" s="3" t="s">
        <v>5</v>
      </c>
      <c r="C13" s="10" t="s">
        <v>62</v>
      </c>
      <c r="F13" s="10" t="s">
        <v>233</v>
      </c>
      <c r="G13" s="3">
        <v>1</v>
      </c>
    </row>
    <row r="14" spans="1:8" x14ac:dyDescent="0.3">
      <c r="A14" s="3">
        <v>10</v>
      </c>
      <c r="B14" s="3" t="s">
        <v>5</v>
      </c>
      <c r="C14" s="10" t="s">
        <v>13</v>
      </c>
      <c r="F14" s="10" t="s">
        <v>63</v>
      </c>
      <c r="G14" s="3">
        <v>0</v>
      </c>
    </row>
    <row r="15" spans="1:8" x14ac:dyDescent="0.3">
      <c r="A15" s="3">
        <v>11</v>
      </c>
      <c r="B15" s="3" t="s">
        <v>14</v>
      </c>
      <c r="C15" s="10" t="s">
        <v>15</v>
      </c>
      <c r="F15" s="10" t="s">
        <v>63</v>
      </c>
      <c r="G15" s="3">
        <v>0</v>
      </c>
    </row>
    <row r="16" spans="1:8" x14ac:dyDescent="0.3">
      <c r="A16" s="3">
        <v>12</v>
      </c>
      <c r="B16" s="3" t="s">
        <v>14</v>
      </c>
      <c r="C16" s="10" t="s">
        <v>16</v>
      </c>
      <c r="F16" s="10" t="s">
        <v>187</v>
      </c>
      <c r="G16" s="3">
        <v>2</v>
      </c>
    </row>
    <row r="17" spans="1:7" ht="28.8" x14ac:dyDescent="0.3">
      <c r="A17" s="3">
        <v>13</v>
      </c>
      <c r="B17" s="3" t="s">
        <v>14</v>
      </c>
      <c r="C17" s="10" t="s">
        <v>17</v>
      </c>
      <c r="F17" s="10" t="s">
        <v>172</v>
      </c>
      <c r="G17" s="3">
        <v>2</v>
      </c>
    </row>
    <row r="18" spans="1:7" ht="28.8" x14ac:dyDescent="0.3">
      <c r="A18" s="3">
        <v>14</v>
      </c>
      <c r="B18" s="3" t="s">
        <v>14</v>
      </c>
      <c r="C18" s="10" t="s">
        <v>18</v>
      </c>
      <c r="F18" s="10" t="s">
        <v>173</v>
      </c>
      <c r="G18" s="3">
        <v>2</v>
      </c>
    </row>
    <row r="19" spans="1:7" x14ac:dyDescent="0.3">
      <c r="A19" s="3">
        <v>15</v>
      </c>
      <c r="B19" s="3" t="s">
        <v>14</v>
      </c>
      <c r="C19" s="10" t="s">
        <v>19</v>
      </c>
      <c r="F19" s="11" t="s">
        <v>63</v>
      </c>
      <c r="G19" s="3">
        <v>0</v>
      </c>
    </row>
    <row r="20" spans="1:7" ht="28.8" x14ac:dyDescent="0.3">
      <c r="A20" s="3">
        <v>16</v>
      </c>
      <c r="B20" s="3" t="s">
        <v>14</v>
      </c>
      <c r="C20" s="10" t="s">
        <v>20</v>
      </c>
      <c r="F20" s="11" t="s">
        <v>188</v>
      </c>
      <c r="G20" s="3">
        <v>2</v>
      </c>
    </row>
    <row r="21" spans="1:7" x14ac:dyDescent="0.3">
      <c r="A21" s="3">
        <v>17</v>
      </c>
      <c r="B21" s="3" t="s">
        <v>14</v>
      </c>
      <c r="C21" s="10" t="s">
        <v>21</v>
      </c>
      <c r="F21" s="10" t="s">
        <v>63</v>
      </c>
      <c r="G21" s="3">
        <v>2</v>
      </c>
    </row>
    <row r="22" spans="1:7" ht="57.6" x14ac:dyDescent="0.3">
      <c r="A22" s="3">
        <v>18</v>
      </c>
      <c r="B22" s="3" t="s">
        <v>14</v>
      </c>
      <c r="C22" s="10" t="s">
        <v>22</v>
      </c>
      <c r="F22" s="10" t="s">
        <v>189</v>
      </c>
      <c r="G22" s="3">
        <v>0</v>
      </c>
    </row>
    <row r="23" spans="1:7" x14ac:dyDescent="0.3">
      <c r="A23" s="3">
        <v>19</v>
      </c>
      <c r="B23" s="3" t="s">
        <v>14</v>
      </c>
      <c r="C23" s="10" t="s">
        <v>23</v>
      </c>
      <c r="F23" s="10" t="s">
        <v>63</v>
      </c>
      <c r="G23" s="3">
        <v>0</v>
      </c>
    </row>
    <row r="24" spans="1:7" ht="72" x14ac:dyDescent="0.3">
      <c r="A24" s="3">
        <v>20</v>
      </c>
      <c r="B24" s="3" t="s">
        <v>14</v>
      </c>
      <c r="C24" s="10" t="s">
        <v>24</v>
      </c>
      <c r="F24" s="10" t="s">
        <v>191</v>
      </c>
      <c r="G24" s="3">
        <v>2</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x14ac:dyDescent="0.3">
      <c r="A29" s="3">
        <v>25</v>
      </c>
      <c r="B29" s="3" t="s">
        <v>25</v>
      </c>
      <c r="C29" s="10" t="s">
        <v>30</v>
      </c>
      <c r="F29" s="10" t="s">
        <v>63</v>
      </c>
      <c r="G29" s="3">
        <v>2</v>
      </c>
    </row>
    <row r="30" spans="1:7" ht="100.8" x14ac:dyDescent="0.3">
      <c r="A30" s="3">
        <v>26</v>
      </c>
      <c r="B30" s="3" t="s">
        <v>31</v>
      </c>
      <c r="C30" s="10" t="s">
        <v>32</v>
      </c>
      <c r="F30" s="10" t="s">
        <v>234</v>
      </c>
      <c r="G30" s="3">
        <v>1</v>
      </c>
    </row>
    <row r="31" spans="1:7" ht="172.8" x14ac:dyDescent="0.3">
      <c r="A31" s="3">
        <v>27</v>
      </c>
      <c r="B31" s="3" t="s">
        <v>31</v>
      </c>
      <c r="C31" s="10" t="s">
        <v>33</v>
      </c>
      <c r="F31" s="10" t="s">
        <v>235</v>
      </c>
      <c r="G31" s="3">
        <v>1</v>
      </c>
    </row>
    <row r="32" spans="1:7" ht="43.2" x14ac:dyDescent="0.3">
      <c r="A32" s="3">
        <v>28</v>
      </c>
      <c r="B32" s="3" t="s">
        <v>31</v>
      </c>
      <c r="C32" s="10" t="s">
        <v>34</v>
      </c>
      <c r="F32" s="10" t="s">
        <v>83</v>
      </c>
      <c r="G32" s="3">
        <v>2</v>
      </c>
    </row>
    <row r="33" spans="1:8" x14ac:dyDescent="0.3">
      <c r="A33" s="3">
        <v>29</v>
      </c>
      <c r="B33" s="3" t="s">
        <v>31</v>
      </c>
      <c r="C33" s="10" t="s">
        <v>35</v>
      </c>
      <c r="F33" s="10" t="s">
        <v>63</v>
      </c>
      <c r="G33" s="3">
        <v>0</v>
      </c>
    </row>
    <row r="34" spans="1:8" x14ac:dyDescent="0.3">
      <c r="A34" s="3">
        <v>30</v>
      </c>
      <c r="B34" s="3" t="s">
        <v>31</v>
      </c>
      <c r="C34" s="10" t="s">
        <v>36</v>
      </c>
      <c r="F34" s="10" t="s">
        <v>63</v>
      </c>
      <c r="G34" s="3">
        <v>0</v>
      </c>
    </row>
    <row r="35" spans="1:8" ht="28.8" x14ac:dyDescent="0.3">
      <c r="A35">
        <v>31</v>
      </c>
      <c r="B35"/>
      <c r="C35" s="10" t="s">
        <v>114</v>
      </c>
      <c r="F35" s="12" t="s">
        <v>177</v>
      </c>
      <c r="G35" s="3">
        <v>2</v>
      </c>
    </row>
    <row r="36" spans="1:8" ht="86.4" x14ac:dyDescent="0.3">
      <c r="A36">
        <v>32</v>
      </c>
      <c r="B36"/>
      <c r="C36" s="10" t="s">
        <v>117</v>
      </c>
      <c r="F36" s="13" t="s">
        <v>196</v>
      </c>
      <c r="G36" s="3">
        <v>2</v>
      </c>
    </row>
    <row r="37" spans="1:8" ht="28.8" x14ac:dyDescent="0.3">
      <c r="A37">
        <v>33</v>
      </c>
      <c r="B37"/>
      <c r="C37" s="10" t="s">
        <v>120</v>
      </c>
      <c r="F37" s="12" t="s">
        <v>63</v>
      </c>
      <c r="G37" s="3">
        <v>0</v>
      </c>
    </row>
    <row r="38" spans="1:8" ht="158.4" x14ac:dyDescent="0.3">
      <c r="A38">
        <v>34</v>
      </c>
      <c r="B38"/>
      <c r="C38" s="10" t="s">
        <v>123</v>
      </c>
      <c r="F38" s="13" t="s">
        <v>197</v>
      </c>
      <c r="G38" s="3">
        <v>2</v>
      </c>
    </row>
    <row r="39" spans="1:8" ht="72" x14ac:dyDescent="0.3">
      <c r="A39">
        <v>35</v>
      </c>
      <c r="B39"/>
      <c r="C39" s="10" t="s">
        <v>126</v>
      </c>
      <c r="F39" s="13" t="s">
        <v>180</v>
      </c>
      <c r="G39" s="3">
        <v>2</v>
      </c>
    </row>
    <row r="41" spans="1:8" x14ac:dyDescent="0.3">
      <c r="F41" s="14" t="s">
        <v>164</v>
      </c>
      <c r="G41" s="8">
        <f>SUM(G5:G39)</f>
        <v>45</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D5:D34" xr:uid="{2522E81A-3329-4088-AE7F-EAFBE74F8509}">
      <formula1>"Y,N"</formula1>
    </dataValidation>
    <dataValidation type="list" allowBlank="1" showInputMessage="1" showErrorMessage="1" sqref="E5:E34 G5:G39" xr:uid="{8087F148-A57D-4C8D-9C3A-A57657D91374}">
      <formula1>"0,1,2"</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AE11-340B-4082-B692-8F02B7E2787A}">
  <dimension ref="A2:H41"/>
  <sheetViews>
    <sheetView topLeftCell="C2" zoomScale="70" zoomScaleNormal="70" workbookViewId="0">
      <selection activeCell="D2" sqref="D2"/>
    </sheetView>
  </sheetViews>
  <sheetFormatPr defaultRowHeight="14.4" x14ac:dyDescent="0.3"/>
  <cols>
    <col min="1" max="1" width="7.88671875" style="3" customWidth="1"/>
    <col min="2" max="2" width="12" style="3" customWidth="1"/>
    <col min="3" max="3" width="90.33203125" style="3" customWidth="1"/>
    <col min="4" max="4" width="23.88671875" style="3" customWidth="1"/>
    <col min="5" max="5" width="20.88671875" style="3" customWidth="1"/>
    <col min="6" max="6" width="60.109375" style="10" customWidth="1"/>
    <col min="7" max="7" width="19.5546875" style="3" customWidth="1"/>
    <col min="8" max="8" width="41" style="3" customWidth="1"/>
  </cols>
  <sheetData>
    <row r="2" spans="1:8" x14ac:dyDescent="0.3">
      <c r="A2" s="16" t="s">
        <v>58</v>
      </c>
      <c r="B2" s="16"/>
      <c r="C2" s="3" t="s">
        <v>259</v>
      </c>
    </row>
    <row r="4" spans="1:8" x14ac:dyDescent="0.3">
      <c r="A4" s="3" t="s">
        <v>0</v>
      </c>
      <c r="B4" s="3" t="s">
        <v>1</v>
      </c>
      <c r="C4" s="3" t="s">
        <v>2</v>
      </c>
      <c r="D4" s="3" t="s">
        <v>53</v>
      </c>
      <c r="E4" s="3" t="s">
        <v>54</v>
      </c>
      <c r="F4" s="10" t="s">
        <v>55</v>
      </c>
      <c r="G4" s="3" t="s">
        <v>56</v>
      </c>
      <c r="H4" s="3" t="s">
        <v>57</v>
      </c>
    </row>
    <row r="5" spans="1:8" x14ac:dyDescent="0.3">
      <c r="A5" s="3">
        <v>1</v>
      </c>
      <c r="B5" s="3" t="s">
        <v>5</v>
      </c>
      <c r="C5" s="10" t="s">
        <v>6</v>
      </c>
      <c r="F5" s="10" t="s">
        <v>182</v>
      </c>
      <c r="G5" s="3">
        <v>2</v>
      </c>
    </row>
    <row r="6" spans="1:8" ht="28.8" x14ac:dyDescent="0.3">
      <c r="A6" s="3">
        <v>2</v>
      </c>
      <c r="B6" s="3" t="s">
        <v>5</v>
      </c>
      <c r="C6" s="10" t="s">
        <v>7</v>
      </c>
      <c r="F6" s="10" t="s">
        <v>66</v>
      </c>
      <c r="G6" s="3">
        <v>2</v>
      </c>
    </row>
    <row r="7" spans="1:8" ht="43.2" x14ac:dyDescent="0.3">
      <c r="A7" s="3">
        <v>3</v>
      </c>
      <c r="B7" s="3" t="s">
        <v>5</v>
      </c>
      <c r="C7" s="10" t="s">
        <v>8</v>
      </c>
      <c r="F7" s="10" t="s">
        <v>183</v>
      </c>
      <c r="G7" s="3">
        <v>2</v>
      </c>
    </row>
    <row r="8" spans="1:8" ht="100.8" x14ac:dyDescent="0.3">
      <c r="A8" s="3">
        <v>4</v>
      </c>
      <c r="B8" s="3" t="s">
        <v>5</v>
      </c>
      <c r="C8" s="10" t="s">
        <v>60</v>
      </c>
      <c r="F8" s="10" t="s">
        <v>236</v>
      </c>
      <c r="G8" s="3">
        <v>2</v>
      </c>
    </row>
    <row r="9" spans="1:8" ht="43.2" x14ac:dyDescent="0.3">
      <c r="A9" s="3">
        <v>5</v>
      </c>
      <c r="B9" s="3" t="s">
        <v>5</v>
      </c>
      <c r="C9" s="10" t="s">
        <v>9</v>
      </c>
      <c r="F9" s="10" t="s">
        <v>184</v>
      </c>
      <c r="G9" s="3">
        <v>1</v>
      </c>
    </row>
    <row r="10" spans="1:8" ht="57.6" x14ac:dyDescent="0.3">
      <c r="A10" s="3">
        <v>6</v>
      </c>
      <c r="B10" s="3" t="s">
        <v>5</v>
      </c>
      <c r="C10" s="10" t="s">
        <v>10</v>
      </c>
      <c r="F10" s="10" t="s">
        <v>237</v>
      </c>
      <c r="G10" s="3">
        <v>0</v>
      </c>
    </row>
    <row r="11" spans="1:8" ht="72" x14ac:dyDescent="0.3">
      <c r="A11" s="3">
        <v>7</v>
      </c>
      <c r="B11" s="3" t="s">
        <v>5</v>
      </c>
      <c r="C11" s="10" t="s">
        <v>11</v>
      </c>
      <c r="F11" s="10" t="s">
        <v>238</v>
      </c>
      <c r="G11" s="3">
        <v>1</v>
      </c>
    </row>
    <row r="12" spans="1:8" x14ac:dyDescent="0.3">
      <c r="A12" s="3">
        <v>8</v>
      </c>
      <c r="B12" s="3" t="s">
        <v>5</v>
      </c>
      <c r="C12" s="10" t="s">
        <v>12</v>
      </c>
      <c r="F12" s="10" t="s">
        <v>63</v>
      </c>
      <c r="G12" s="3">
        <v>0</v>
      </c>
    </row>
    <row r="13" spans="1:8" ht="409.6" x14ac:dyDescent="0.3">
      <c r="A13" s="3">
        <v>9</v>
      </c>
      <c r="B13" s="3" t="s">
        <v>5</v>
      </c>
      <c r="C13" s="10" t="s">
        <v>62</v>
      </c>
      <c r="F13" s="10" t="s">
        <v>239</v>
      </c>
      <c r="G13" s="3">
        <v>1</v>
      </c>
    </row>
    <row r="14" spans="1:8" x14ac:dyDescent="0.3">
      <c r="A14" s="3">
        <v>10</v>
      </c>
      <c r="B14" s="3" t="s">
        <v>5</v>
      </c>
      <c r="C14" s="10" t="s">
        <v>13</v>
      </c>
      <c r="F14" s="10" t="s">
        <v>63</v>
      </c>
      <c r="G14" s="3">
        <v>0</v>
      </c>
    </row>
    <row r="15" spans="1:8" x14ac:dyDescent="0.3">
      <c r="A15" s="3">
        <v>11</v>
      </c>
      <c r="B15" s="3" t="s">
        <v>14</v>
      </c>
      <c r="C15" s="10" t="s">
        <v>15</v>
      </c>
      <c r="F15" s="10" t="s">
        <v>63</v>
      </c>
      <c r="G15" s="3">
        <v>0</v>
      </c>
    </row>
    <row r="16" spans="1:8" ht="28.8" x14ac:dyDescent="0.3">
      <c r="A16" s="3">
        <v>12</v>
      </c>
      <c r="B16" s="3" t="s">
        <v>14</v>
      </c>
      <c r="C16" s="10" t="s">
        <v>16</v>
      </c>
      <c r="F16" s="10" t="s">
        <v>240</v>
      </c>
      <c r="G16" s="3">
        <v>2</v>
      </c>
    </row>
    <row r="17" spans="1:7" x14ac:dyDescent="0.3">
      <c r="A17" s="3">
        <v>13</v>
      </c>
      <c r="B17" s="3" t="s">
        <v>14</v>
      </c>
      <c r="C17" s="10" t="s">
        <v>17</v>
      </c>
      <c r="F17" s="10" t="s">
        <v>63</v>
      </c>
      <c r="G17" s="3">
        <v>0</v>
      </c>
    </row>
    <row r="18" spans="1:7" x14ac:dyDescent="0.3">
      <c r="A18" s="3">
        <v>14</v>
      </c>
      <c r="B18" s="3" t="s">
        <v>14</v>
      </c>
      <c r="C18" s="10" t="s">
        <v>18</v>
      </c>
      <c r="F18" s="10" t="s">
        <v>241</v>
      </c>
      <c r="G18" s="3">
        <v>2</v>
      </c>
    </row>
    <row r="19" spans="1:7" x14ac:dyDescent="0.3">
      <c r="A19" s="3">
        <v>15</v>
      </c>
      <c r="B19" s="3" t="s">
        <v>14</v>
      </c>
      <c r="C19" s="10" t="s">
        <v>19</v>
      </c>
      <c r="F19" s="11" t="s">
        <v>63</v>
      </c>
      <c r="G19" s="3">
        <v>0</v>
      </c>
    </row>
    <row r="20" spans="1:7" x14ac:dyDescent="0.3">
      <c r="A20" s="3">
        <v>16</v>
      </c>
      <c r="B20" s="3" t="s">
        <v>14</v>
      </c>
      <c r="C20" s="10" t="s">
        <v>20</v>
      </c>
      <c r="F20" s="11" t="s">
        <v>63</v>
      </c>
      <c r="G20" s="3">
        <v>0</v>
      </c>
    </row>
    <row r="21" spans="1:7" x14ac:dyDescent="0.3">
      <c r="A21" s="3">
        <v>17</v>
      </c>
      <c r="B21" s="3" t="s">
        <v>14</v>
      </c>
      <c r="C21" s="10" t="s">
        <v>21</v>
      </c>
      <c r="F21" s="10" t="s">
        <v>63</v>
      </c>
      <c r="G21" s="3">
        <v>2</v>
      </c>
    </row>
    <row r="22" spans="1:7" x14ac:dyDescent="0.3">
      <c r="A22" s="3">
        <v>18</v>
      </c>
      <c r="B22" s="3" t="s">
        <v>14</v>
      </c>
      <c r="C22" s="10" t="s">
        <v>22</v>
      </c>
      <c r="F22" s="10" t="s">
        <v>63</v>
      </c>
      <c r="G22" s="3">
        <v>0</v>
      </c>
    </row>
    <row r="23" spans="1:7" x14ac:dyDescent="0.3">
      <c r="A23" s="3">
        <v>19</v>
      </c>
      <c r="B23" s="3" t="s">
        <v>14</v>
      </c>
      <c r="C23" s="10" t="s">
        <v>23</v>
      </c>
      <c r="F23" s="10" t="s">
        <v>63</v>
      </c>
      <c r="G23" s="3">
        <v>0</v>
      </c>
    </row>
    <row r="24" spans="1:7" x14ac:dyDescent="0.3">
      <c r="A24" s="3">
        <v>20</v>
      </c>
      <c r="B24" s="3" t="s">
        <v>14</v>
      </c>
      <c r="C24" s="10" t="s">
        <v>24</v>
      </c>
      <c r="F24" s="10" t="s">
        <v>63</v>
      </c>
      <c r="G24" s="3">
        <v>0</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x14ac:dyDescent="0.3">
      <c r="A29" s="3">
        <v>25</v>
      </c>
      <c r="B29" s="3" t="s">
        <v>25</v>
      </c>
      <c r="C29" s="10" t="s">
        <v>30</v>
      </c>
      <c r="F29" s="10" t="s">
        <v>63</v>
      </c>
      <c r="G29" s="3">
        <v>2</v>
      </c>
    </row>
    <row r="30" spans="1:7" ht="86.4" x14ac:dyDescent="0.3">
      <c r="A30" s="3">
        <v>26</v>
      </c>
      <c r="B30" s="3" t="s">
        <v>31</v>
      </c>
      <c r="C30" s="10" t="s">
        <v>32</v>
      </c>
      <c r="F30" s="10" t="s">
        <v>242</v>
      </c>
      <c r="G30" s="3">
        <v>1</v>
      </c>
    </row>
    <row r="31" spans="1:7" x14ac:dyDescent="0.3">
      <c r="A31" s="3">
        <v>27</v>
      </c>
      <c r="B31" s="3" t="s">
        <v>31</v>
      </c>
      <c r="C31" s="10" t="s">
        <v>33</v>
      </c>
      <c r="F31" s="10" t="s">
        <v>63</v>
      </c>
      <c r="G31" s="3">
        <v>0</v>
      </c>
    </row>
    <row r="32" spans="1:7" ht="43.2" x14ac:dyDescent="0.3">
      <c r="A32" s="3">
        <v>28</v>
      </c>
      <c r="B32" s="3" t="s">
        <v>31</v>
      </c>
      <c r="C32" s="10" t="s">
        <v>34</v>
      </c>
      <c r="F32" s="10" t="s">
        <v>83</v>
      </c>
      <c r="G32" s="3">
        <v>2</v>
      </c>
    </row>
    <row r="33" spans="1:8" ht="172.8" x14ac:dyDescent="0.3">
      <c r="A33" s="3">
        <v>29</v>
      </c>
      <c r="B33" s="3" t="s">
        <v>31</v>
      </c>
      <c r="C33" s="10" t="s">
        <v>35</v>
      </c>
      <c r="F33" s="10" t="s">
        <v>243</v>
      </c>
      <c r="G33" s="3">
        <v>2</v>
      </c>
    </row>
    <row r="34" spans="1:8" x14ac:dyDescent="0.3">
      <c r="A34" s="3">
        <v>30</v>
      </c>
      <c r="B34" s="3" t="s">
        <v>31</v>
      </c>
      <c r="C34" s="10" t="s">
        <v>36</v>
      </c>
      <c r="F34" s="10" t="s">
        <v>63</v>
      </c>
      <c r="G34" s="3">
        <v>0</v>
      </c>
    </row>
    <row r="35" spans="1:8" ht="28.8" x14ac:dyDescent="0.3">
      <c r="A35">
        <v>31</v>
      </c>
      <c r="B35"/>
      <c r="C35" s="10" t="s">
        <v>114</v>
      </c>
      <c r="F35" s="12" t="s">
        <v>63</v>
      </c>
      <c r="G35" s="3">
        <v>0</v>
      </c>
    </row>
    <row r="36" spans="1:8" ht="72" x14ac:dyDescent="0.3">
      <c r="A36">
        <v>32</v>
      </c>
      <c r="B36"/>
      <c r="C36" s="10" t="s">
        <v>117</v>
      </c>
      <c r="F36" s="13" t="s">
        <v>244</v>
      </c>
      <c r="G36" s="3">
        <v>2</v>
      </c>
    </row>
    <row r="37" spans="1:8" ht="57.6" x14ac:dyDescent="0.3">
      <c r="A37">
        <v>33</v>
      </c>
      <c r="B37"/>
      <c r="C37" s="10" t="s">
        <v>120</v>
      </c>
      <c r="F37" s="12" t="s">
        <v>245</v>
      </c>
      <c r="G37" s="3">
        <v>2</v>
      </c>
    </row>
    <row r="38" spans="1:8" ht="72" x14ac:dyDescent="0.3">
      <c r="A38">
        <v>34</v>
      </c>
      <c r="B38"/>
      <c r="C38" s="10" t="s">
        <v>123</v>
      </c>
      <c r="F38" s="13" t="s">
        <v>246</v>
      </c>
      <c r="G38" s="3">
        <v>2</v>
      </c>
    </row>
    <row r="39" spans="1:8" ht="72" x14ac:dyDescent="0.3">
      <c r="A39">
        <v>35</v>
      </c>
      <c r="B39"/>
      <c r="C39" s="10" t="s">
        <v>126</v>
      </c>
      <c r="F39" s="13" t="s">
        <v>247</v>
      </c>
      <c r="G39" s="3">
        <v>2</v>
      </c>
    </row>
    <row r="41" spans="1:8" x14ac:dyDescent="0.3">
      <c r="F41" s="14" t="s">
        <v>164</v>
      </c>
      <c r="G41" s="8">
        <f>SUM(G5:G39)</f>
        <v>40</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D5:D34" xr:uid="{25DB99FA-2C81-40BC-BDD1-BAE2FECA663B}">
      <formula1>"Y,N"</formula1>
    </dataValidation>
    <dataValidation type="list" allowBlank="1" showInputMessage="1" showErrorMessage="1" sqref="E5:E34 G5:G39" xr:uid="{AA683AFE-9E29-4829-8974-B87FCEBCDC67}">
      <formula1>"0,1,2"</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D4307-2EDD-4925-84D2-2912ADAB1544}">
  <dimension ref="A2:H41"/>
  <sheetViews>
    <sheetView tabSelected="1" topLeftCell="C1" zoomScale="70" zoomScaleNormal="70" workbookViewId="0">
      <selection activeCell="G41" sqref="G41"/>
    </sheetView>
  </sheetViews>
  <sheetFormatPr defaultRowHeight="14.4" x14ac:dyDescent="0.3"/>
  <cols>
    <col min="1" max="1" width="7.88671875" style="3" customWidth="1"/>
    <col min="2" max="2" width="12" style="3" customWidth="1"/>
    <col min="3" max="3" width="90.33203125" style="3" customWidth="1"/>
    <col min="4" max="4" width="23.88671875" style="3" customWidth="1"/>
    <col min="5" max="5" width="20.88671875" style="3" customWidth="1"/>
    <col min="6" max="6" width="60.109375" style="10" customWidth="1"/>
    <col min="7" max="7" width="19.5546875" style="3" customWidth="1"/>
    <col min="8" max="8" width="41" style="3" customWidth="1"/>
  </cols>
  <sheetData>
    <row r="2" spans="1:8" x14ac:dyDescent="0.3">
      <c r="A2" s="16" t="s">
        <v>58</v>
      </c>
      <c r="B2" s="16"/>
      <c r="C2" s="3" t="s">
        <v>248</v>
      </c>
    </row>
    <row r="4" spans="1:8" x14ac:dyDescent="0.3">
      <c r="A4" s="3" t="s">
        <v>0</v>
      </c>
      <c r="B4" s="3" t="s">
        <v>1</v>
      </c>
      <c r="C4" s="3" t="s">
        <v>2</v>
      </c>
      <c r="D4" s="3" t="s">
        <v>53</v>
      </c>
      <c r="E4" s="3" t="s">
        <v>54</v>
      </c>
      <c r="F4" s="10" t="s">
        <v>55</v>
      </c>
      <c r="G4" s="3" t="s">
        <v>56</v>
      </c>
      <c r="H4" s="3" t="s">
        <v>57</v>
      </c>
    </row>
    <row r="5" spans="1:8" x14ac:dyDescent="0.3">
      <c r="A5" s="3">
        <v>1</v>
      </c>
      <c r="B5" s="3" t="s">
        <v>5</v>
      </c>
      <c r="C5" s="10" t="s">
        <v>6</v>
      </c>
      <c r="F5" s="10" t="s">
        <v>182</v>
      </c>
      <c r="G5" s="3">
        <v>2</v>
      </c>
    </row>
    <row r="6" spans="1:8" ht="28.8" x14ac:dyDescent="0.3">
      <c r="A6" s="3">
        <v>2</v>
      </c>
      <c r="B6" s="3" t="s">
        <v>5</v>
      </c>
      <c r="C6" s="10" t="s">
        <v>7</v>
      </c>
      <c r="F6" s="10" t="s">
        <v>66</v>
      </c>
      <c r="G6" s="3">
        <v>2</v>
      </c>
    </row>
    <row r="7" spans="1:8" ht="43.2" x14ac:dyDescent="0.3">
      <c r="A7" s="3">
        <v>3</v>
      </c>
      <c r="B7" s="3" t="s">
        <v>5</v>
      </c>
      <c r="C7" s="10" t="s">
        <v>8</v>
      </c>
      <c r="F7" s="10" t="s">
        <v>183</v>
      </c>
      <c r="G7" s="3">
        <v>2</v>
      </c>
    </row>
    <row r="8" spans="1:8" ht="72" x14ac:dyDescent="0.3">
      <c r="A8" s="3">
        <v>4</v>
      </c>
      <c r="B8" s="3" t="s">
        <v>5</v>
      </c>
      <c r="C8" s="10" t="s">
        <v>60</v>
      </c>
      <c r="F8" s="10" t="s">
        <v>249</v>
      </c>
      <c r="G8" s="3">
        <v>2</v>
      </c>
    </row>
    <row r="9" spans="1:8" ht="43.2" x14ac:dyDescent="0.3">
      <c r="A9" s="3">
        <v>5</v>
      </c>
      <c r="B9" s="3" t="s">
        <v>5</v>
      </c>
      <c r="C9" s="10" t="s">
        <v>9</v>
      </c>
      <c r="F9" s="10" t="s">
        <v>250</v>
      </c>
      <c r="G9" s="3">
        <v>1</v>
      </c>
    </row>
    <row r="10" spans="1:8" ht="72" x14ac:dyDescent="0.3">
      <c r="A10" s="3">
        <v>6</v>
      </c>
      <c r="B10" s="3" t="s">
        <v>5</v>
      </c>
      <c r="C10" s="10" t="s">
        <v>10</v>
      </c>
      <c r="F10" s="10" t="s">
        <v>251</v>
      </c>
      <c r="G10" s="3">
        <v>0</v>
      </c>
    </row>
    <row r="11" spans="1:8" ht="57.6" x14ac:dyDescent="0.3">
      <c r="A11" s="3">
        <v>7</v>
      </c>
      <c r="B11" s="3" t="s">
        <v>5</v>
      </c>
      <c r="C11" s="10" t="s">
        <v>11</v>
      </c>
      <c r="F11" s="10" t="s">
        <v>252</v>
      </c>
      <c r="G11" s="3">
        <v>0</v>
      </c>
    </row>
    <row r="12" spans="1:8" ht="86.4" x14ac:dyDescent="0.3">
      <c r="A12" s="3">
        <v>8</v>
      </c>
      <c r="B12" s="3" t="s">
        <v>5</v>
      </c>
      <c r="C12" s="10" t="s">
        <v>12</v>
      </c>
      <c r="F12" s="10" t="s">
        <v>253</v>
      </c>
      <c r="G12" s="3">
        <v>0</v>
      </c>
    </row>
    <row r="13" spans="1:8" ht="374.4" x14ac:dyDescent="0.3">
      <c r="A13" s="3">
        <v>9</v>
      </c>
      <c r="B13" s="3" t="s">
        <v>5</v>
      </c>
      <c r="C13" s="10" t="s">
        <v>62</v>
      </c>
      <c r="F13" s="10" t="s">
        <v>254</v>
      </c>
      <c r="G13" s="3">
        <v>1</v>
      </c>
    </row>
    <row r="14" spans="1:8" x14ac:dyDescent="0.3">
      <c r="A14" s="3">
        <v>10</v>
      </c>
      <c r="B14" s="3" t="s">
        <v>5</v>
      </c>
      <c r="C14" s="10" t="s">
        <v>13</v>
      </c>
      <c r="F14" s="10" t="s">
        <v>63</v>
      </c>
      <c r="G14" s="3">
        <v>0</v>
      </c>
    </row>
    <row r="15" spans="1:8" x14ac:dyDescent="0.3">
      <c r="A15" s="3">
        <v>11</v>
      </c>
      <c r="B15" s="3" t="s">
        <v>14</v>
      </c>
      <c r="C15" s="10" t="s">
        <v>15</v>
      </c>
      <c r="F15" s="10" t="s">
        <v>63</v>
      </c>
      <c r="G15" s="3">
        <v>0</v>
      </c>
    </row>
    <row r="16" spans="1:8" ht="28.8" x14ac:dyDescent="0.3">
      <c r="A16" s="3">
        <v>12</v>
      </c>
      <c r="B16" s="3" t="s">
        <v>14</v>
      </c>
      <c r="C16" s="10" t="s">
        <v>16</v>
      </c>
      <c r="F16" s="10" t="s">
        <v>240</v>
      </c>
      <c r="G16" s="3">
        <v>2</v>
      </c>
    </row>
    <row r="17" spans="1:7" x14ac:dyDescent="0.3">
      <c r="A17" s="3">
        <v>13</v>
      </c>
      <c r="B17" s="3" t="s">
        <v>14</v>
      </c>
      <c r="C17" s="10" t="s">
        <v>17</v>
      </c>
      <c r="F17" s="10" t="s">
        <v>63</v>
      </c>
      <c r="G17" s="3">
        <v>0</v>
      </c>
    </row>
    <row r="18" spans="1:7" ht="187.2" x14ac:dyDescent="0.3">
      <c r="A18" s="3">
        <v>14</v>
      </c>
      <c r="B18" s="3" t="s">
        <v>14</v>
      </c>
      <c r="C18" s="10" t="s">
        <v>18</v>
      </c>
      <c r="F18" s="10" t="s">
        <v>255</v>
      </c>
      <c r="G18" s="3">
        <v>0</v>
      </c>
    </row>
    <row r="19" spans="1:7" x14ac:dyDescent="0.3">
      <c r="A19" s="3">
        <v>15</v>
      </c>
      <c r="B19" s="3" t="s">
        <v>14</v>
      </c>
      <c r="C19" s="10" t="s">
        <v>19</v>
      </c>
      <c r="F19" s="11" t="s">
        <v>63</v>
      </c>
      <c r="G19" s="3">
        <v>0</v>
      </c>
    </row>
    <row r="20" spans="1:7" x14ac:dyDescent="0.3">
      <c r="A20" s="3">
        <v>16</v>
      </c>
      <c r="B20" s="3" t="s">
        <v>14</v>
      </c>
      <c r="C20" s="10" t="s">
        <v>20</v>
      </c>
      <c r="F20" s="11" t="s">
        <v>63</v>
      </c>
      <c r="G20" s="3">
        <v>0</v>
      </c>
    </row>
    <row r="21" spans="1:7" x14ac:dyDescent="0.3">
      <c r="A21" s="3">
        <v>17</v>
      </c>
      <c r="B21" s="3" t="s">
        <v>14</v>
      </c>
      <c r="C21" s="10" t="s">
        <v>21</v>
      </c>
      <c r="F21" s="10" t="s">
        <v>63</v>
      </c>
      <c r="G21" s="3">
        <v>2</v>
      </c>
    </row>
    <row r="22" spans="1:7" x14ac:dyDescent="0.3">
      <c r="A22" s="3">
        <v>18</v>
      </c>
      <c r="B22" s="3" t="s">
        <v>14</v>
      </c>
      <c r="C22" s="10" t="s">
        <v>22</v>
      </c>
      <c r="F22" s="10" t="s">
        <v>63</v>
      </c>
      <c r="G22" s="3">
        <v>0</v>
      </c>
    </row>
    <row r="23" spans="1:7" x14ac:dyDescent="0.3">
      <c r="A23" s="3">
        <v>19</v>
      </c>
      <c r="B23" s="3" t="s">
        <v>14</v>
      </c>
      <c r="C23" s="10" t="s">
        <v>23</v>
      </c>
      <c r="F23" s="10" t="s">
        <v>63</v>
      </c>
      <c r="G23" s="3">
        <v>0</v>
      </c>
    </row>
    <row r="24" spans="1:7" x14ac:dyDescent="0.3">
      <c r="A24" s="3">
        <v>20</v>
      </c>
      <c r="B24" s="3" t="s">
        <v>14</v>
      </c>
      <c r="C24" s="10" t="s">
        <v>24</v>
      </c>
      <c r="F24" s="10" t="s">
        <v>63</v>
      </c>
      <c r="G24" s="3">
        <v>0</v>
      </c>
    </row>
    <row r="25" spans="1:7" x14ac:dyDescent="0.3">
      <c r="A25" s="3">
        <v>21</v>
      </c>
      <c r="B25" s="3" t="s">
        <v>25</v>
      </c>
      <c r="C25" s="10" t="s">
        <v>26</v>
      </c>
      <c r="F25" s="10" t="s">
        <v>63</v>
      </c>
      <c r="G25" s="3">
        <v>2</v>
      </c>
    </row>
    <row r="26" spans="1:7" x14ac:dyDescent="0.3">
      <c r="A26" s="3">
        <v>22</v>
      </c>
      <c r="B26" s="3" t="s">
        <v>25</v>
      </c>
      <c r="C26" s="10" t="s">
        <v>27</v>
      </c>
      <c r="F26" s="10" t="s">
        <v>63</v>
      </c>
      <c r="G26" s="3">
        <v>2</v>
      </c>
    </row>
    <row r="27" spans="1:7" x14ac:dyDescent="0.3">
      <c r="A27" s="3">
        <v>23</v>
      </c>
      <c r="B27" s="3" t="s">
        <v>25</v>
      </c>
      <c r="C27" s="10" t="s">
        <v>28</v>
      </c>
      <c r="F27" s="10" t="s">
        <v>63</v>
      </c>
      <c r="G27" s="3">
        <v>2</v>
      </c>
    </row>
    <row r="28" spans="1:7" x14ac:dyDescent="0.3">
      <c r="A28" s="3">
        <v>24</v>
      </c>
      <c r="B28" s="3" t="s">
        <v>25</v>
      </c>
      <c r="C28" s="10" t="s">
        <v>29</v>
      </c>
      <c r="F28" s="10" t="s">
        <v>63</v>
      </c>
      <c r="G28" s="3">
        <v>2</v>
      </c>
    </row>
    <row r="29" spans="1:7" x14ac:dyDescent="0.3">
      <c r="A29" s="3">
        <v>25</v>
      </c>
      <c r="B29" s="3" t="s">
        <v>25</v>
      </c>
      <c r="C29" s="10" t="s">
        <v>30</v>
      </c>
      <c r="F29" s="10" t="s">
        <v>63</v>
      </c>
      <c r="G29" s="3">
        <v>2</v>
      </c>
    </row>
    <row r="30" spans="1:7" ht="172.8" x14ac:dyDescent="0.3">
      <c r="A30" s="3">
        <v>26</v>
      </c>
      <c r="B30" s="3" t="s">
        <v>31</v>
      </c>
      <c r="C30" s="10" t="s">
        <v>32</v>
      </c>
      <c r="F30" s="10" t="s">
        <v>256</v>
      </c>
      <c r="G30" s="3">
        <v>1</v>
      </c>
    </row>
    <row r="31" spans="1:7" x14ac:dyDescent="0.3">
      <c r="A31" s="3">
        <v>27</v>
      </c>
      <c r="B31" s="3" t="s">
        <v>31</v>
      </c>
      <c r="C31" s="10" t="s">
        <v>33</v>
      </c>
      <c r="F31" s="10" t="s">
        <v>63</v>
      </c>
      <c r="G31" s="3">
        <v>0</v>
      </c>
    </row>
    <row r="32" spans="1:7" ht="43.2" x14ac:dyDescent="0.3">
      <c r="A32" s="3">
        <v>28</v>
      </c>
      <c r="B32" s="3" t="s">
        <v>31</v>
      </c>
      <c r="C32" s="10" t="s">
        <v>34</v>
      </c>
      <c r="F32" s="10" t="s">
        <v>83</v>
      </c>
      <c r="G32" s="3">
        <v>2</v>
      </c>
    </row>
    <row r="33" spans="1:8" ht="172.8" x14ac:dyDescent="0.3">
      <c r="A33" s="3">
        <v>29</v>
      </c>
      <c r="B33" s="3" t="s">
        <v>31</v>
      </c>
      <c r="C33" s="10" t="s">
        <v>35</v>
      </c>
      <c r="F33" s="10" t="s">
        <v>257</v>
      </c>
      <c r="G33" s="3">
        <v>1</v>
      </c>
    </row>
    <row r="34" spans="1:8" ht="86.4" x14ac:dyDescent="0.3">
      <c r="A34" s="3">
        <v>30</v>
      </c>
      <c r="B34" s="3" t="s">
        <v>31</v>
      </c>
      <c r="C34" s="10" t="s">
        <v>36</v>
      </c>
      <c r="F34" s="10" t="s">
        <v>258</v>
      </c>
      <c r="G34" s="3">
        <v>0</v>
      </c>
    </row>
    <row r="35" spans="1:8" ht="28.8" x14ac:dyDescent="0.3">
      <c r="A35">
        <v>31</v>
      </c>
      <c r="B35"/>
      <c r="C35" s="10" t="s">
        <v>114</v>
      </c>
      <c r="F35" s="12" t="s">
        <v>63</v>
      </c>
      <c r="G35" s="3">
        <v>0</v>
      </c>
    </row>
    <row r="36" spans="1:8" ht="72" x14ac:dyDescent="0.3">
      <c r="A36">
        <v>32</v>
      </c>
      <c r="B36"/>
      <c r="C36" s="10" t="s">
        <v>117</v>
      </c>
      <c r="F36" s="13" t="s">
        <v>244</v>
      </c>
      <c r="G36" s="3">
        <v>2</v>
      </c>
    </row>
    <row r="37" spans="1:8" ht="57.6" x14ac:dyDescent="0.3">
      <c r="A37">
        <v>33</v>
      </c>
      <c r="B37"/>
      <c r="C37" s="10" t="s">
        <v>120</v>
      </c>
      <c r="F37" s="12" t="s">
        <v>245</v>
      </c>
      <c r="G37" s="3">
        <v>2</v>
      </c>
    </row>
    <row r="38" spans="1:8" ht="72" x14ac:dyDescent="0.3">
      <c r="A38">
        <v>34</v>
      </c>
      <c r="B38"/>
      <c r="C38" s="10" t="s">
        <v>123</v>
      </c>
      <c r="F38" s="13" t="s">
        <v>246</v>
      </c>
      <c r="G38" s="3">
        <v>2</v>
      </c>
    </row>
    <row r="39" spans="1:8" ht="72" x14ac:dyDescent="0.3">
      <c r="A39">
        <v>35</v>
      </c>
      <c r="B39"/>
      <c r="C39" s="10" t="s">
        <v>126</v>
      </c>
      <c r="F39" s="13" t="s">
        <v>247</v>
      </c>
      <c r="G39" s="3">
        <v>2</v>
      </c>
    </row>
    <row r="41" spans="1:8" x14ac:dyDescent="0.3">
      <c r="F41" s="14" t="s">
        <v>164</v>
      </c>
      <c r="G41" s="8">
        <f>SUM(G5:G39)</f>
        <v>36</v>
      </c>
      <c r="H41" s="8" t="s">
        <v>165</v>
      </c>
    </row>
  </sheetData>
  <mergeCells count="1">
    <mergeCell ref="A2:B2"/>
  </mergeCells>
  <conditionalFormatting sqref="E5:E34">
    <cfRule type="colorScale" priority="2">
      <colorScale>
        <cfvo type="num" val="0"/>
        <cfvo type="num" val="1"/>
        <cfvo type="num" val="2"/>
        <color rgb="FFFF6347"/>
        <color rgb="FFFFF59D"/>
        <color rgb="FF81C784"/>
      </colorScale>
    </cfRule>
  </conditionalFormatting>
  <conditionalFormatting sqref="G5:G34">
    <cfRule type="colorScale" priority="3">
      <colorScale>
        <cfvo type="num" val="0"/>
        <cfvo type="num" val="1"/>
        <cfvo type="num" val="2"/>
        <color rgb="FFFF6347"/>
        <color rgb="FFFFF59D"/>
        <color rgb="FF81C784"/>
      </colorScale>
    </cfRule>
  </conditionalFormatting>
  <conditionalFormatting sqref="G35:G39">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E5:E34 G5:G39" xr:uid="{4CFC20FB-EEAF-4137-8121-7559EBA3EC31}">
      <formula1>"0,1,2"</formula1>
    </dataValidation>
    <dataValidation type="list" allowBlank="1" showInputMessage="1" showErrorMessage="1" sqref="D5:D34" xr:uid="{D1B5C398-DE23-4F05-9ABA-0A4659359918}">
      <formula1>"Y,N"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fd2e45c-4d37-4fa6-a2bd-508f3d0c042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77A0709C7E4034F9730662C83955827" ma:contentTypeVersion="9" ma:contentTypeDescription="Create a new document." ma:contentTypeScope="" ma:versionID="2a340845f4dfacc905c547fa3ef7bf25">
  <xsd:schema xmlns:xsd="http://www.w3.org/2001/XMLSchema" xmlns:xs="http://www.w3.org/2001/XMLSchema" xmlns:p="http://schemas.microsoft.com/office/2006/metadata/properties" xmlns:ns2="9fd2e45c-4d37-4fa6-a2bd-508f3d0c042d" targetNamespace="http://schemas.microsoft.com/office/2006/metadata/properties" ma:root="true" ma:fieldsID="bdfe8d45d66d69620af7b1c877e3cb1c" ns2:_="">
    <xsd:import namespace="9fd2e45c-4d37-4fa6-a2bd-508f3d0c04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d2e45c-4d37-4fa6-a2bd-508f3d0c04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754bec2-9c12-4dff-9bba-47e6622608a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588167-E3A9-4BD3-8EB6-FC300989CC62}">
  <ds:schemaRefs>
    <ds:schemaRef ds:uri="http://schemas.microsoft.com/office/2006/metadata/properties"/>
    <ds:schemaRef ds:uri="http://schemas.microsoft.com/office/infopath/2007/PartnerControls"/>
    <ds:schemaRef ds:uri="9fd2e45c-4d37-4fa6-a2bd-508f3d0c042d"/>
  </ds:schemaRefs>
</ds:datastoreItem>
</file>

<file path=customXml/itemProps2.xml><?xml version="1.0" encoding="utf-8"?>
<ds:datastoreItem xmlns:ds="http://schemas.openxmlformats.org/officeDocument/2006/customXml" ds:itemID="{D4AC7440-88AB-454F-8F4C-108DE229EA70}">
  <ds:schemaRefs>
    <ds:schemaRef ds:uri="http://schemas.microsoft.com/sharepoint/v3/contenttype/forms"/>
  </ds:schemaRefs>
</ds:datastoreItem>
</file>

<file path=customXml/itemProps3.xml><?xml version="1.0" encoding="utf-8"?>
<ds:datastoreItem xmlns:ds="http://schemas.openxmlformats.org/officeDocument/2006/customXml" ds:itemID="{DBF14994-A7FA-42C9-B680-A8CE021FA9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d2e45c-4d37-4fa6-a2bd-508f3d0c04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25ec627-a3d7-4544-8c26-d34fce24e371}" enabled="1" method="Privileged" siteId="{f688b0d0-79f0-40a4-8644-35fcdee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Golden_Dataset</vt:lpstr>
      <vt:lpstr>Experiment 1 (baseline)</vt:lpstr>
      <vt:lpstr>Experiment 2</vt:lpstr>
      <vt:lpstr>Experiment 3</vt:lpstr>
      <vt:lpstr>Experiment 4 (First)</vt:lpstr>
      <vt:lpstr>Experiment 5</vt:lpstr>
      <vt:lpstr>Experiment 6 (Second)</vt:lpstr>
      <vt:lpstr>Experiment 7</vt:lpstr>
      <vt:lpstr>F-Exp 1</vt:lpstr>
      <vt:lpstr>F-Exp 2</vt:lpstr>
      <vt:lpstr>F-Exp 3</vt:lpstr>
      <vt:lpstr>F-Exp 4</vt:lpstr>
      <vt:lpstr>FC-Exp 1</vt:lpstr>
      <vt:lpstr>FC-Exp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LIM IY XIN, RACHELLE</cp:lastModifiedBy>
  <dcterms:created xsi:type="dcterms:W3CDTF">2025-12-01T02:48:28Z</dcterms:created>
  <dcterms:modified xsi:type="dcterms:W3CDTF">2026-01-22T07:15:47Z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0x010100677A0709C7E4034F9730662C83955827</vt:lpwstr>
  </property>
</Properties>
</file>